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quiry Tool Parts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<sst xmlns="http://schemas.openxmlformats.org/spreadsheetml/2006/main" uniqueCount="1041">
  <si>
    <t>Part No.</t>
  </si>
  <si>
    <t>Description German</t>
  </si>
  <si>
    <t>Description English</t>
  </si>
  <si>
    <t>Unit</t>
  </si>
  <si>
    <t>Statistic</t>
  </si>
  <si>
    <t>picture</t>
  </si>
  <si>
    <t>price / unit</t>
  </si>
  <si>
    <t xml:space="preserve">weight / unit </t>
  </si>
  <si>
    <t>machine</t>
  </si>
  <si>
    <t>technical description</t>
  </si>
  <si>
    <t>dimension   l/w/h</t>
  </si>
  <si>
    <t>Min. /Max. Bestellmenge (ja/nein)</t>
  </si>
  <si>
    <t>Info</t>
  </si>
  <si>
    <t>Kennung</t>
  </si>
  <si>
    <t>Maschine</t>
  </si>
  <si>
    <t>Wiederbeschaffung</t>
  </si>
  <si>
    <t>ET VK 2024</t>
  </si>
  <si>
    <t>Mindestmenge</t>
  </si>
  <si>
    <t>ZME-01171D</t>
  </si>
  <si>
    <t>MODUL FU-STACOFIL 200XE</t>
  </si>
  <si>
    <t>MODUL FREQUENCY CONVERTER 200XE</t>
  </si>
  <si>
    <t>piece</t>
  </si>
  <si>
    <t>ET</t>
  </si>
  <si>
    <t xml:space="preserve"> EUR 442,46</t>
  </si>
  <si>
    <t>1,4kg</t>
  </si>
  <si>
    <t>200XE winding machine</t>
  </si>
  <si>
    <t>3 x 210V ±15%  50/60Hz ±5%</t>
  </si>
  <si>
    <t>SEC</t>
  </si>
  <si>
    <r>
      <rPr>
        <sz val="11"/>
        <color indexed="11"/>
        <rFont val="Calibri"/>
      </rPr>
      <t>stacoFIL 200 XE</t>
    </r>
  </si>
  <si>
    <r>
      <rPr>
        <sz val="11"/>
        <color indexed="8"/>
        <rFont val="Calibri"/>
      </rPr>
      <t>piece</t>
    </r>
  </si>
  <si>
    <t>AIHR-01039</t>
  </si>
  <si>
    <t>HEIZELEMENT</t>
  </si>
  <si>
    <t>HEATING ELEMENT</t>
  </si>
  <si>
    <t xml:space="preserve"> EUR 1855,01</t>
  </si>
  <si>
    <t>1,5kg</t>
  </si>
  <si>
    <t>ad*starKON machine</t>
  </si>
  <si>
    <t>P= 15kW  U= 3 x 400V  900°C</t>
  </si>
  <si>
    <t>KSC</t>
  </si>
  <si>
    <t>ad*starKON SX / SX+ / AX / AX+</t>
  </si>
  <si>
    <t>AZZG-00040</t>
  </si>
  <si>
    <t>FAFUE-SCHLITTEN KOMPL 2017 FUER LINEARMOTOR lin-/twinTAPE</t>
  </si>
  <si>
    <t>THREAD GUIDE CARRIAGE COMPL. 2017 FOR LINEAR MOTOR lin-/twinTAPE</t>
  </si>
  <si>
    <t xml:space="preserve"> EUR 60,89</t>
  </si>
  <si>
    <t>0,03kg</t>
  </si>
  <si>
    <t>lin/Twin Tape winding machine</t>
  </si>
  <si>
    <t>steel</t>
  </si>
  <si>
    <t>S99</t>
  </si>
  <si>
    <t>Winding machine general</t>
  </si>
  <si>
    <t>VYC-00245F</t>
  </si>
  <si>
    <t>SL 6 SCHUETZROLLE (6,5°) FÜR RIET 10°</t>
  </si>
  <si>
    <t>SL 6 SHUTTLE WHEEL (6,5°) FOR REED
10°</t>
  </si>
  <si>
    <t>VT</t>
  </si>
  <si>
    <t>EUR 11,54</t>
  </si>
  <si>
    <t>0,09kg</t>
  </si>
  <si>
    <t>weaving machine</t>
  </si>
  <si>
    <t>SHUTTLE ROLE 6,5°
BOLT
GROOVED BALL BEARING
LOCKING RING
SLEEVE</t>
  </si>
  <si>
    <t>W99</t>
  </si>
  <si>
    <t>Weaving machine general</t>
  </si>
  <si>
    <t>VYC-00652D</t>
  </si>
  <si>
    <t>KRAFTSENSOR M. SCHUTZKAPPE</t>
  </si>
  <si>
    <t>FORCE GAUGE WITH THREAD-ROLLER</t>
  </si>
  <si>
    <t>EUR 147,60</t>
  </si>
  <si>
    <t>0,38kg</t>
  </si>
  <si>
    <t>VYC-00264C</t>
  </si>
  <si>
    <t>SCHUETZRAD MIT LAGER</t>
  </si>
  <si>
    <t>SHUTTLE WHEEL WITH BEARING</t>
  </si>
  <si>
    <t>EUR 8,05</t>
  </si>
  <si>
    <t>0,06kg</t>
  </si>
  <si>
    <t>SHUTTLE WHEEL
GROOVED BALL BEARING</t>
  </si>
  <si>
    <t>Z4T-00921</t>
  </si>
  <si>
    <t>SPANNELEMENT</t>
  </si>
  <si>
    <t>TENSIONING ELEMENT</t>
  </si>
  <si>
    <t>EUR 22,54</t>
  </si>
  <si>
    <t>0,054kg</t>
  </si>
  <si>
    <t>WLL</t>
  </si>
  <si>
    <t>stacoLOOM Leno</t>
  </si>
  <si>
    <t>Z4T-04425</t>
  </si>
  <si>
    <t>STATOR + ROTOR MOTOR KOMPLETT</t>
  </si>
  <si>
    <t>STATOR + ROTOR DRIVE COMPLETE</t>
  </si>
  <si>
    <t>EUR 216,28</t>
  </si>
  <si>
    <t>0,7kg</t>
  </si>
  <si>
    <t>Rotor Type: RECM 372-4 180 VDC A0
STATOR Type: RECM 372-4 180 VDC A0
In= 0,8A    Un= 127V AC
Mn= 0,3Nm   Nn= 4000U/min
Isol.Kl.: B   Protection type: IP 41 to EN60529</t>
  </si>
  <si>
    <t>VYC-00213F</t>
  </si>
  <si>
    <t>EXZENTERROLLE D45, M. BOLZEN SYSTEM 2</t>
  </si>
  <si>
    <t>EXCENTER ROLL COMPLETE WITH BOLT</t>
  </si>
  <si>
    <t>EUR 8,15</t>
  </si>
  <si>
    <t>0,07kg</t>
  </si>
  <si>
    <t>Plug
EXCENTER ROLL 
GROOVED BALL BEARING
LOCKING RING</t>
  </si>
  <si>
    <t>AIVS-01343</t>
  </si>
  <si>
    <t>X2X TASTATUREINHEIT / E - RING 24VDC über Ethernet versorgt</t>
  </si>
  <si>
    <t>X2X KEYBOARD MODUL 24V DC over ethernet provided</t>
  </si>
  <si>
    <t>EUR 56,12</t>
  </si>
  <si>
    <t>0,16kg</t>
  </si>
  <si>
    <t xml:space="preserve">24 VDC ±25%
max. 8 Watt
18 - 30 VDC
max. 320mA </t>
  </si>
  <si>
    <t>123/77/52,6 mm</t>
  </si>
  <si>
    <t>ZME-01198C</t>
  </si>
  <si>
    <t>MODUL FU1 LIN-/TWINTAPE</t>
  </si>
  <si>
    <t>MODUL FU1 Twintape</t>
  </si>
  <si>
    <t>EUR 359,59</t>
  </si>
  <si>
    <t>Lin/Twin Tape winding machine</t>
  </si>
  <si>
    <t>3x 210 VAC
0,4 A
50Hz</t>
  </si>
  <si>
    <t>Preis vom Index C</t>
  </si>
  <si>
    <t>SEG</t>
  </si>
  <si>
    <r>
      <rPr>
        <sz val="11"/>
        <color indexed="11"/>
        <rFont val="Calibri"/>
      </rPr>
      <t>stacoFIL 200 AII</t>
    </r>
  </si>
  <si>
    <t>ZME-01199C</t>
  </si>
  <si>
    <t>MODUL FU2 TWINTAPE FU FUER TROMMEL/SPINDELN</t>
  </si>
  <si>
    <t>MODUL FU2 Twintape</t>
  </si>
  <si>
    <t>EUR 374,61</t>
  </si>
  <si>
    <t>0,8kg</t>
  </si>
  <si>
    <t>Twintape windingmachine</t>
  </si>
  <si>
    <t>VYC-00246F</t>
  </si>
  <si>
    <t>SL 6 PILZROLLE ANTRIEB (6,5°) FÜR RIET 10°</t>
  </si>
  <si>
    <t>SL 6 CONCHOID ROLLER DRIVE (6.5°) FOR REED 10°</t>
  </si>
  <si>
    <t>EUR 14,40</t>
  </si>
  <si>
    <t xml:space="preserve">0,15kg </t>
  </si>
  <si>
    <t>CONCHOID ROLLER 6,5°
AXLE
SPACER
LOCKING RING
GROOVED BALL BEARING
WASHER</t>
  </si>
  <si>
    <t>ZME-01168B</t>
  </si>
  <si>
    <t>MODUL LOOM-CONTROLLER V OHNE CAN-SCHNITTSTELLE</t>
  </si>
  <si>
    <t>MODULE LOOM-CONTROLLER V  WITHOUT CAN INTERFACE</t>
  </si>
  <si>
    <t>EUR 725,04</t>
  </si>
  <si>
    <t>OMEGA-4, , SLL 4, SL 6, OMEGA-6,
 SL 61, SL 62, SL 8, SL 82</t>
  </si>
  <si>
    <t>24 VDC
WITHOUT CAN INTERFACE</t>
  </si>
  <si>
    <t>ZME-01187A</t>
  </si>
  <si>
    <t>MODUL FU-STACOFIL 200A/200 AII 3 x 210V ±15%   50/60Hz ±5%</t>
  </si>
  <si>
    <t>MODULE FC-STACOFIL 200A  3 x 210V ±15%   50/60Hz ±5%</t>
  </si>
  <si>
    <t>EUR 327,51</t>
  </si>
  <si>
    <t>3 x 210V ±15%   50/60Hz ±5%</t>
  </si>
  <si>
    <t>AIRF-01162</t>
  </si>
  <si>
    <t>ZWK- EINSPEISEEINHEIT CIS 6kW ZWK DC3x380-480VAC 50/60Hz</t>
  </si>
  <si>
    <t>ZWK POWER SUPPLY UNIT CIS  6kW ZWK DC3x380-480VAC 50/60Hz</t>
  </si>
  <si>
    <t>EUR 3890,82</t>
  </si>
  <si>
    <t xml:space="preserve">7kg </t>
  </si>
  <si>
    <t>6kW ZWK DC3x380-480VAC 50/60Hz</t>
  </si>
  <si>
    <t>WLF</t>
  </si>
  <si>
    <t>stacoLOOM Alpha 6.0</t>
  </si>
  <si>
    <t>VYC-00247D</t>
  </si>
  <si>
    <t>SL 6 PILZROLLE BREMSE (6,5°) FÜR RIET 10°</t>
  </si>
  <si>
    <t>SL 6 CONCHOID ROLLER BRAKE (6,5°) FOR REED 10°</t>
  </si>
  <si>
    <t>EUR 9,70</t>
  </si>
  <si>
    <t>CONCHOID ROLLER 6,5°
GROOVED BALL BEARING
LOCKING RING
BRAKE ROLL UPTAKE
WASHER</t>
  </si>
  <si>
    <t>ZXC-04759</t>
  </si>
  <si>
    <t>OESENBAND 2X10 (145L)</t>
  </si>
  <si>
    <t>GROMMET BAND 2 X10 (145L)</t>
  </si>
  <si>
    <t>EUR 11,76</t>
  </si>
  <si>
    <t>0,113kg</t>
  </si>
  <si>
    <t>MACHINERY-BAND
EYELET
ROUND HEAD RIVET</t>
  </si>
  <si>
    <t>1100/98/1 mm</t>
  </si>
  <si>
    <t>WLZ</t>
  </si>
  <si>
    <r>
      <rPr>
        <sz val="11"/>
        <color indexed="11"/>
        <rFont val="Calibri"/>
      </rPr>
      <t>stacoLOOM Omega 6</t>
    </r>
  </si>
  <si>
    <t>AIVS-01380</t>
  </si>
  <si>
    <t>ZENTRALEINHEIT  CP1381 X20  Ethernet  Powerlink</t>
  </si>
  <si>
    <t>CENTRAL PROCESSING UNIT CP1381 X20 Ethernet Powerlink</t>
  </si>
  <si>
    <t>0,3kg</t>
  </si>
  <si>
    <t>X20 Zentraleinheit,
X86 200  CPU,
128 MByte DDR2 RAM, 8 kByte SRAM,
On board Flash Drive 1GByte</t>
  </si>
  <si>
    <t>WLW</t>
  </si>
  <si>
    <r>
      <rPr>
        <sz val="11"/>
        <color indexed="11"/>
        <rFont val="Calibri"/>
      </rPr>
      <t xml:space="preserve">stacoLOOM RX 8.0 </t>
    </r>
  </si>
  <si>
    <t>AIVV-01152</t>
  </si>
  <si>
    <t>POWER PANEL T30 4,3" WQVGA color Touch</t>
  </si>
  <si>
    <t>EUR 695,21</t>
  </si>
  <si>
    <t>0,4kg</t>
  </si>
  <si>
    <t>weaving machine / starEX machine</t>
  </si>
  <si>
    <t xml:space="preserve">without battery, 24VDC; 130mA; 5.5W; </t>
  </si>
  <si>
    <t>AEPI-01072</t>
  </si>
  <si>
    <t>ABTASTKOPF f. induktives Winkelmesssystem</t>
  </si>
  <si>
    <t>ENCODER SCAN HEAD for inductive angle measuring system</t>
  </si>
  <si>
    <t>EUR 868,18</t>
  </si>
  <si>
    <t>0,263kg</t>
  </si>
  <si>
    <t>printing machine</t>
  </si>
  <si>
    <t>4-7VDC; 16kHz</t>
  </si>
  <si>
    <t>ECB</t>
  </si>
  <si>
    <r>
      <rPr>
        <sz val="11"/>
        <color indexed="11"/>
        <rFont val="Calibri"/>
      </rPr>
      <t>stacoTEC 1500/90</t>
    </r>
  </si>
  <si>
    <t>AIRF-01482</t>
  </si>
  <si>
    <t>FREQUENZUMRICHTER P64NEW 0,37 kW 3AC 380-500V X2X</t>
  </si>
  <si>
    <t>FREQUENCY CONVERTER P64NEW  0,37 kW 3AC 380-500V X2X</t>
  </si>
  <si>
    <t>EUR 401.85</t>
  </si>
  <si>
    <t>1,69kg</t>
  </si>
  <si>
    <t>Mains input voltage:
3x 380 VAC -15% bis 500 VAC +10%
Frequency: 50 bis 60 Hz ±5%
Apparent power: 1,2 kVA
max. app. Short-circuit current: 5 kA
Inrush current:max. 10 A</t>
  </si>
  <si>
    <t>VYC-00127B</t>
  </si>
  <si>
    <t>SAUGPISTOLE STANDARD</t>
  </si>
  <si>
    <t>SUCTION DEVICE STANDARD</t>
  </si>
  <si>
    <t>EUR 580,58</t>
  </si>
  <si>
    <t>1kg</t>
  </si>
  <si>
    <t>starEX machine</t>
  </si>
  <si>
    <t>from 5 - 7bar air pressure, air consumption 178l/sec; up to 5mm tapes</t>
  </si>
  <si>
    <t>VYC-00794B</t>
  </si>
  <si>
    <t>ANTRIEBSROLLE (10°)</t>
  </si>
  <si>
    <t>DRIVING ROLL (10°)</t>
  </si>
  <si>
    <t>EUR 14.53</t>
  </si>
  <si>
    <t>0,11kg</t>
  </si>
  <si>
    <t>DRIVE ROLL 10°
GROOVED BALL BEARING
LOCKING RING</t>
  </si>
  <si>
    <t>VYC-00659A</t>
  </si>
  <si>
    <t>FADENROLLE D19 M. LAGERELEMENT</t>
  </si>
  <si>
    <t>THREAD ROLL D19</t>
  </si>
  <si>
    <t>EUR 22.35</t>
  </si>
  <si>
    <t xml:space="preserve">
</t>
  </si>
  <si>
    <t xml:space="preserve">THREAD-ROLLER WITH JOURNAL BEARING
DEFLECTION DISC
ALLEN SCREW
WASHER
HEXAGON NUT
CAP PLUG
</t>
  </si>
  <si>
    <t>AIVS-01226</t>
  </si>
  <si>
    <t>ANALOGES EINGANGSMODUL  AI1744 X20  DMS-Modul</t>
  </si>
  <si>
    <t>ANALOG INPUT MODULE AI1744  X20  DMS-Module</t>
  </si>
  <si>
    <t>EUR 402.36</t>
  </si>
  <si>
    <t>0,01kg</t>
  </si>
  <si>
    <t>Grid dimension: 12.5 mm
Operating temperature: 0°C to +55°C
Protection class: IP 20
Bridge op. vol: 5.5 VDC / max. 65mA
Measur. range: +/- 2 to +/- 16 mV/V
Certifications:    CE, C-UL-US</t>
  </si>
  <si>
    <t>General spare part</t>
  </si>
  <si>
    <t>AIVV-01111</t>
  </si>
  <si>
    <t>X2X - PANEL  (LPC) 24 VDC</t>
  </si>
  <si>
    <t>X2X PANEL LPC 24 VDC</t>
  </si>
  <si>
    <t>EUR 1058,15</t>
  </si>
  <si>
    <t>1,3kg</t>
  </si>
  <si>
    <t>Pin1 = +24V
Pin2 = GND-24V
PIN3 = DATA
PIN4 = +20V
PIN5 = +20V
PIN6 = DATA/Negiert
PIN7/8  GND</t>
  </si>
  <si>
    <t>VYC-00689E</t>
  </si>
  <si>
    <t>SCHUSSSPULENBREMSE 22W 4000U/min</t>
  </si>
  <si>
    <t>WEFT BRAKE 22W 4000U/min</t>
  </si>
  <si>
    <t>EUR 279,41</t>
  </si>
  <si>
    <t>0,54kg</t>
  </si>
  <si>
    <t>complete</t>
  </si>
  <si>
    <t>WSA</t>
  </si>
  <si>
    <t>stacoLOOM FX 6.0</t>
  </si>
  <si>
    <t>Z3T-03358B</t>
  </si>
  <si>
    <t>NADELHUELSE ID76/145</t>
  </si>
  <si>
    <t>NEEDLE SLEEVE</t>
  </si>
  <si>
    <t>EUR 875,16</t>
  </si>
  <si>
    <t>4,9kg</t>
  </si>
  <si>
    <t xml:space="preserve">ad*starkON machine / coating machine / multiKON + multiKON servo machine </t>
  </si>
  <si>
    <t>with 31200 Needles</t>
  </si>
  <si>
    <t>145/108 mm</t>
  </si>
  <si>
    <t>VYC-00589B</t>
  </si>
  <si>
    <t>ANDRUECKWALZE</t>
  </si>
  <si>
    <t>PRESSURE ROLLER</t>
  </si>
  <si>
    <t>EUR 53,09</t>
  </si>
  <si>
    <t>0,574kg</t>
  </si>
  <si>
    <t>PRESSURE ROLLER
GROOVED BALL BEARING
HOLDING FIXTURE
RINGSPANN- STAR SPRING</t>
  </si>
  <si>
    <t>Z3S-00138D</t>
  </si>
  <si>
    <t>SCHIFFCHEN 58/7 (L=18,5)</t>
  </si>
  <si>
    <t>SLIDING SHUTTLE 58/7 (L=18,5)</t>
  </si>
  <si>
    <t>EUR 15,29</t>
  </si>
  <si>
    <t>0,001kg</t>
  </si>
  <si>
    <t>AELT-01076</t>
  </si>
  <si>
    <t>REFLEXIONS-LICHTTASTER PNP  ROTLICHT  M12  Stecker</t>
  </si>
  <si>
    <t>REFLECTION LIGHT SCANNER  PNP  red light M12 plug</t>
  </si>
  <si>
    <t>EUR 101,92</t>
  </si>
  <si>
    <t>0,12kg</t>
  </si>
  <si>
    <t>Supply voltage 10...30 V DC
Current consumption (Ub = 24V) &lt; 40 mA
Switching frequency 500 Hz
Response time 5 ms
Scanning range 300 mm</t>
  </si>
  <si>
    <t>AIVS-01175</t>
  </si>
  <si>
    <t>X2X I/O-MODUL/DMS 2003  XX415-K03/10E/8A 24VDC</t>
  </si>
  <si>
    <t>X2X I/O-MODULE/STRAIN GAUGE 2003 XX415-K03/10E/8A 24VDC</t>
  </si>
  <si>
    <t>EUR 2604,45</t>
  </si>
  <si>
    <t>0,56kg</t>
  </si>
  <si>
    <t>Decentralized I/O with X2X Link, 24 VDC;
2 full bridge strain gauge inputs;
4*DA 0.5 A, 4*DA 2 A; 24 VDC;
10*DE, 24 VDC, 8*sink, 2*source</t>
  </si>
  <si>
    <t>170/80/30 mm</t>
  </si>
  <si>
    <t>WLJ</t>
  </si>
  <si>
    <r>
      <rPr>
        <sz val="11"/>
        <color indexed="11"/>
        <rFont val="Calibri"/>
      </rPr>
      <t>stacoLOOM Alpha 88</t>
    </r>
  </si>
  <si>
    <t>Z3C-04857D</t>
  </si>
  <si>
    <t>PRESSEUR_DB</t>
  </si>
  <si>
    <t>IMPRESSION ROLLER_CP</t>
  </si>
  <si>
    <t>EUR 1258,18</t>
  </si>
  <si>
    <t>18kg</t>
  </si>
  <si>
    <t>IMPRESSION ROLLER
POLYURETHANE</t>
  </si>
  <si>
    <t>200/202,13 mm</t>
  </si>
  <si>
    <t>KSB</t>
  </si>
  <si>
    <r>
      <rPr>
        <sz val="11"/>
        <color indexed="11"/>
        <rFont val="Calibri"/>
      </rPr>
      <t>ad*starKON 60</t>
    </r>
  </si>
  <si>
    <t>Z3T-04630A</t>
  </si>
  <si>
    <t>NADELHUELSE ID76/145 40680 Nadeln</t>
  </si>
  <si>
    <t>NEEDLE SLEEVE ID76/145 40680 NEEDLES</t>
  </si>
  <si>
    <t>EUR 979,34</t>
  </si>
  <si>
    <t>4,86kg</t>
  </si>
  <si>
    <t>with 40860 Needles</t>
  </si>
  <si>
    <t>VYC-02044</t>
  </si>
  <si>
    <t>SEITENSCHEIBE M. FEDERRING D35/D115</t>
  </si>
  <si>
    <t>SIDE WASHER WITH SPRING RING D35/D115</t>
  </si>
  <si>
    <t>BT</t>
  </si>
  <si>
    <t>EUR 3,01</t>
  </si>
  <si>
    <t>0,045kg</t>
  </si>
  <si>
    <t>SIDE WASHER RAW
FOAM WASHER
SPRING RING</t>
  </si>
  <si>
    <t>AIRF-01490</t>
  </si>
  <si>
    <t>FREQUENZUMRICHTER P64NEW 4,0 kW 3AC 380-500V X2X</t>
  </si>
  <si>
    <t>FREQUENCY CONVERTER P64NEW 4,0 kW 3AC 380-500V X2X</t>
  </si>
  <si>
    <t>EUR 722,62</t>
  </si>
  <si>
    <t>2,82kg</t>
  </si>
  <si>
    <t>Mains input voltage: 3x 380 VAC -15% to 500 VAC +10%
Frequency: 50 to 60 Hz ±5%
Apparent power (at 500 VAC): 8.6 kVA
max. app. Short-circuit current (lsc): 5 kA
Inrush current: max. 10 A</t>
  </si>
  <si>
    <t>ECD</t>
  </si>
  <si>
    <r>
      <rPr>
        <sz val="11"/>
        <color indexed="11"/>
        <rFont val="Calibri"/>
      </rPr>
      <t>stacoTEC 720</t>
    </r>
  </si>
  <si>
    <t>AIRF-01136</t>
  </si>
  <si>
    <t>WECHSELRICHTER 3,0kW  3x600V DC</t>
  </si>
  <si>
    <t>INVERTER 3,0kW  3x600V DC</t>
  </si>
  <si>
    <t>EUR 524,98</t>
  </si>
  <si>
    <t>2,5kg</t>
  </si>
  <si>
    <t>Rated power 3000 W
Rated current 7.45 A
Microcontroller clock 10 MHz
PWM frequency 5 kHz
Output frequency 0 ... +/- 400 Hz</t>
  </si>
  <si>
    <t>AZEX-01130</t>
  </si>
  <si>
    <t>FILTERBAND L=10m, B=127mm, MESH: 260/40</t>
  </si>
  <si>
    <t>FILTER BELT L=10m, B=127mm, MESH: 260/40</t>
  </si>
  <si>
    <t>EUR 161,01</t>
  </si>
  <si>
    <t>2,04kg</t>
  </si>
  <si>
    <t xml:space="preserve">Wire mesh filter belt
Mesh per inch: warp 260; weft 40; 10m length
</t>
  </si>
  <si>
    <t>10000/127 mm</t>
  </si>
  <si>
    <t>E99</t>
  </si>
  <si>
    <t>Extrusion line general</t>
  </si>
  <si>
    <t>AZEX-01152</t>
  </si>
  <si>
    <t>INDUSTRIE-KLINGE GERADKOPF 43 X 22,2 X 0,15</t>
  </si>
  <si>
    <t>INDUSTRY CUTTER BLADE WITH UPRIGHT HEAD 43 X 22,2 X 0,15</t>
  </si>
  <si>
    <t>EUR 0,25</t>
  </si>
  <si>
    <t>stainless steel tin coating</t>
  </si>
  <si>
    <t>43/22,2/0,15</t>
  </si>
  <si>
    <t>AZEX-01166</t>
  </si>
  <si>
    <t>FILTERBAND L=10m, B=127mm, MESH: 152/30</t>
  </si>
  <si>
    <t>FILTER BELT L=10m, B=127mm, MESH: 152/30</t>
  </si>
  <si>
    <t>EUR 195,11</t>
  </si>
  <si>
    <t xml:space="preserve">6,53kg </t>
  </si>
  <si>
    <t>Wire mesh filter belt
Mesh per inch: warp 152; weft 30; 10m length</t>
  </si>
  <si>
    <t>AZEX-01184</t>
  </si>
  <si>
    <t>FILTERBAND L=10m, B=157mm, MESH: 152/30</t>
  </si>
  <si>
    <t>FILTER BELT L=10m, B=157mm, MESH: 152/30</t>
  </si>
  <si>
    <t>EUR 206,48</t>
  </si>
  <si>
    <t>6kg</t>
  </si>
  <si>
    <t>10000/157 mm</t>
  </si>
  <si>
    <t>AZEX-01185</t>
  </si>
  <si>
    <t>FILTERBAND L=10m, B=157mm, MESH: 260/40</t>
  </si>
  <si>
    <t>FILTER BELT L=10m, B=157mm, MESH: 260/40</t>
  </si>
  <si>
    <t>EUR 208,37</t>
  </si>
  <si>
    <t>4kg</t>
  </si>
  <si>
    <t>Wire mesh filter belt
Mesh per inch: warp 260; weft 40; 10m length</t>
  </si>
  <si>
    <t>AZRE-01169</t>
  </si>
  <si>
    <t>SIEBRONDE D110 mm</t>
  </si>
  <si>
    <t>SCREEN D110 mm</t>
  </si>
  <si>
    <t>EUR 2,84</t>
  </si>
  <si>
    <t>MW 0,63mm, D 0,4mm, 25 MESH</t>
  </si>
  <si>
    <t>D110mm</t>
  </si>
  <si>
    <t>Z3S-00070A</t>
  </si>
  <si>
    <t>ROTORMESSER</t>
  </si>
  <si>
    <t>ROTOR KNIFE</t>
  </si>
  <si>
    <t>EUR 45,27</t>
  </si>
  <si>
    <t>0,57kg</t>
  </si>
  <si>
    <t>180/50/10mm</t>
  </si>
  <si>
    <t>Z3S-00071D</t>
  </si>
  <si>
    <t>STATORMESSER</t>
  </si>
  <si>
    <t>STATOR KNIFE</t>
  </si>
  <si>
    <t>EUR 29,93</t>
  </si>
  <si>
    <t>0,27kg</t>
  </si>
  <si>
    <t>180/25/11mm</t>
  </si>
  <si>
    <t>Z4T-06249B</t>
  </si>
  <si>
    <t>SIEBRONDE D180 132/17 | 152/30 FARBMARK. GELB</t>
  </si>
  <si>
    <t>SCREEN D180 152/30 | 132/17 color marking yellow</t>
  </si>
  <si>
    <t>EUR 32,37</t>
  </si>
  <si>
    <t>0,19kg</t>
  </si>
  <si>
    <t>unit: 200 MY</t>
  </si>
  <si>
    <t>D180/3,2mm</t>
  </si>
  <si>
    <t>EBF</t>
  </si>
  <si>
    <t>starEX 1500/1600</t>
  </si>
  <si>
    <t>Z4T-06250A</t>
  </si>
  <si>
    <t>SIEBRONDE D180 152/30 | 260/40 FARBM. WEISS</t>
  </si>
  <si>
    <t>SCREEN D180 152/30 | 260/40 color marking white</t>
  </si>
  <si>
    <t>EUR 32,16</t>
  </si>
  <si>
    <t>unit: 80 MY</t>
  </si>
  <si>
    <t>Z4T-06251A</t>
  </si>
  <si>
    <t>SIEBRONDE D180 152/30 | 325/39 FARBM. SCHWARZ</t>
  </si>
  <si>
    <t>SCREEN D180 152/30 | 325/39 color marking black</t>
  </si>
  <si>
    <t>EUR 36,28</t>
  </si>
  <si>
    <t>0,18kg</t>
  </si>
  <si>
    <t>unit: 55 MY</t>
  </si>
  <si>
    <t>AHWM-01492</t>
  </si>
  <si>
    <t>KLINGE NR. 52 52 X 19 X 0,6</t>
  </si>
  <si>
    <t>BLADE NO. 52 52 X 19 X 0,6</t>
  </si>
  <si>
    <t>EUR 0,85</t>
  </si>
  <si>
    <t>0,003kg</t>
  </si>
  <si>
    <t>52/19/0,6mm</t>
  </si>
  <si>
    <t>AZRE-01398</t>
  </si>
  <si>
    <t>FILTERRONDE D125,3 / MESH 20 / 800my</t>
  </si>
  <si>
    <t>FILTER BLANK D125,3 / MESH 20 / 800my</t>
  </si>
  <si>
    <t>EUR 0,89</t>
  </si>
  <si>
    <t>0,025kg</t>
  </si>
  <si>
    <t>MESH 20 / 800my</t>
  </si>
  <si>
    <t>D125,3mm</t>
  </si>
  <si>
    <t>AZRE-01401</t>
  </si>
  <si>
    <t>FILTERRONDE D125,3 / MESH 24/110 / 150my</t>
  </si>
  <si>
    <t>FILTER BLANK D125,3 / MESH 24/110 / 150my</t>
  </si>
  <si>
    <t>EUR 0,99</t>
  </si>
  <si>
    <t>0,028kg</t>
  </si>
  <si>
    <t>MESH 24/110 / 150my</t>
  </si>
  <si>
    <t>AZRE-01402</t>
  </si>
  <si>
    <t>FILTERRONDE D125,3 / MESH 50/250 / 50my</t>
  </si>
  <si>
    <t>FILTER BLANK D125,3 / MESH 50/250 / 50my</t>
  </si>
  <si>
    <t>EUR 1,04</t>
  </si>
  <si>
    <t>0,013kg</t>
  </si>
  <si>
    <t>MESH 50/250 / 50my</t>
  </si>
  <si>
    <t>AZRE-01781</t>
  </si>
  <si>
    <t>FILTERRONDE D125,3 / MESH 40/200 / 80my</t>
  </si>
  <si>
    <t>FILTER BLANK D125,3 / MESH 40/200 / 80my</t>
  </si>
  <si>
    <t>EUR 0,95</t>
  </si>
  <si>
    <t>0,014kg</t>
  </si>
  <si>
    <t>MESH 40/200 / 80my</t>
  </si>
  <si>
    <t>AZRE-01921</t>
  </si>
  <si>
    <t>FILTERRONDE D125,3 / MESH 80/700 / 36my</t>
  </si>
  <si>
    <t>FILTER BLANK D125,3 / MESH 80/700 / 36my</t>
  </si>
  <si>
    <t>0,007kg</t>
  </si>
  <si>
    <t>MESH 80/700 / 36my</t>
  </si>
  <si>
    <t>Z4T-06564</t>
  </si>
  <si>
    <t>SIEBRONDE D180 30X150 FARBM. ROT</t>
  </si>
  <si>
    <t>SCREEN D180 30X150 color marking red</t>
  </si>
  <si>
    <t>EUR 31,82</t>
  </si>
  <si>
    <t>0,15kg</t>
  </si>
  <si>
    <t>unit: 100 MY</t>
  </si>
  <si>
    <t>Z4T-06565</t>
  </si>
  <si>
    <t>SIEBRONDE D180 40X200 FARBM. BLAU</t>
  </si>
  <si>
    <t>SCREEN D180 40X200 color marking blue</t>
  </si>
  <si>
    <t>EUR 41,03</t>
  </si>
  <si>
    <t>Z2C-03600G</t>
  </si>
  <si>
    <t>D114/51,5mm</t>
  </si>
  <si>
    <t>Z2R-09948B</t>
  </si>
  <si>
    <t>SCHNEIDKRONE Y.6.30</t>
  </si>
  <si>
    <t>CUTTER CROWN Y.6.30</t>
  </si>
  <si>
    <t>EUR 2512,25</t>
  </si>
  <si>
    <t>14,66kg</t>
  </si>
  <si>
    <t>D200/320mm</t>
  </si>
  <si>
    <t>Z4T-06524</t>
  </si>
  <si>
    <t>SCHAUMSTOFFSCHEIBE D113 X D48 X 6</t>
  </si>
  <si>
    <t>FOAM WASHER D113 X D48 X 6</t>
  </si>
  <si>
    <t>EUR 0,68</t>
  </si>
  <si>
    <t>FOAM WASHER</t>
  </si>
  <si>
    <t>D113 X D48 X 6</t>
  </si>
  <si>
    <t>AIVV-01161</t>
  </si>
  <si>
    <t>POWER PANEL T30 7,0" WVGA color Touch</t>
  </si>
  <si>
    <t>EUR 1001,10</t>
  </si>
  <si>
    <t>0,683kg</t>
  </si>
  <si>
    <t>Nominal voltage 24 VDC
Max. current at nominal voltage 230 mA
Max. power consumption 5.5 W
Voltage range 8 to 32 VDC</t>
  </si>
  <si>
    <t>197/140/42,8mm</t>
  </si>
  <si>
    <t>AIVS-01403</t>
  </si>
  <si>
    <t>ZENTRALEINHEIT  CP1382 X20  Ethernet  Powerlink</t>
  </si>
  <si>
    <t>CENTRAL PROCESSING UNIT CP1382 X20, Ethernet, Powerlink</t>
  </si>
  <si>
    <t>EUR 1237,32</t>
  </si>
  <si>
    <t>0,381kg</t>
  </si>
  <si>
    <t>old weaving machines FX 6.1, FX 8.0,
FX 10.0, RX 8</t>
  </si>
  <si>
    <t>X20CP1382
X20 Zentraleinheit,
X86 400  CPU,
128 MByte DDR2 RAM, 8 kByte SRAM,
On board Flash Drive 1GByte</t>
  </si>
  <si>
    <t>AIVS-01445</t>
  </si>
  <si>
    <t>COMPACT-S CPU  CP0483 X20  Ethernet, Powerlink</t>
  </si>
  <si>
    <t>COMPACT-S CPU CP 0483 X20  Ethernet, Powerlink</t>
  </si>
  <si>
    <t>EUR 956,55</t>
  </si>
  <si>
    <t>0,075kg</t>
  </si>
  <si>
    <t>current weaving machines FX 6.1, FX 8.0,
FX 10, RX 8.1, RX 8.II</t>
  </si>
  <si>
    <t>ARM Cortex-A9 processor with 500 MHz and integrated I/O processor
POWERLINK with poll response chaining on board
Ethernet on board
2x USB on board
256 MByte DDR3 SDRAM main memory
1 GByte flash drive on board</t>
  </si>
  <si>
    <t>AIRF-01455</t>
  </si>
  <si>
    <t>FREQUENZUMRICHTER P66 4,0kW  3AC 380-500V  X2X</t>
  </si>
  <si>
    <t>FREQUENCY CONVERTER P66 4,0 kW, 3AC 380-500V, X2X</t>
  </si>
  <si>
    <t>EUR 711,28</t>
  </si>
  <si>
    <t>2,3kg</t>
  </si>
  <si>
    <t xml:space="preserve">Mains input voltage 3x 380 VAC -15% to 500 VAC +10%  
Frequency 50 to 60 Hz ±5%  
Apparent power (at 500 VAC) 9.2 kVA  
max. app. Short-circuit current (lsc) 5 kA Z  
Inrush current max. 10 A Z  
Mains current   
at 380 VAC 13.7 A Z  
at 500 VAC 10.6 A Z  
Power loss at rated load and rated switching frequency 112 W  </t>
  </si>
  <si>
    <t>AIRF-01448</t>
  </si>
  <si>
    <t>FREQUENZUMRICHTER P66 0,37kW  3AC 380-500V  X2X</t>
  </si>
  <si>
    <t>FREQUENCY CONVERTER  P66 0,37kW  3AC 380-500V  X2X</t>
  </si>
  <si>
    <t>EUR 390,51</t>
  </si>
  <si>
    <t>2,7kg</t>
  </si>
  <si>
    <t>current weaving machines FX 6.1, FX 8.0, 
FX 10, RX 8.1, RX 8.II</t>
  </si>
  <si>
    <t>Mains input voltage 3x 380 VAC -15% to 500 VAC +10%  
Frequency 50 to 60 Hz ±5%  
Apparent power (at 500 VAC) 1.4 kVA  
max. app. Short-circuit current (lsc) 5 kA Z  
Inrush current max. 10 A Z  
Mains current   
at 380 VAC 2.1 A Z  
at 500 VAC 1.6 A Z  
Power loss at rated load and rated switching frequency 28 W</t>
  </si>
  <si>
    <t>AHDT-01038</t>
  </si>
  <si>
    <t>PTFE-KLEBEBAND SELBSTKLEBEND 0,08 X 50</t>
  </si>
  <si>
    <t>PTFE-SCOTCH TAPE SELF ADHESIVE 0,08 X 50</t>
  </si>
  <si>
    <t>EUR 4,15</t>
  </si>
  <si>
    <t>0,016kg</t>
  </si>
  <si>
    <t>PTFE-SCOTCH TAPE SELF ADHESIVE</t>
  </si>
  <si>
    <t>0,08 X 50</t>
  </si>
  <si>
    <t>ONLY IN ROLLS OF 33 METERS</t>
  </si>
  <si>
    <t>AHDT-01039</t>
  </si>
  <si>
    <t>PTFE-GLASGEW.-TRANSPORTBAND 0,25 X 100</t>
  </si>
  <si>
    <t>PTFE-GLASS FABRIC-CONVEYOR BELT 0,25 X 100</t>
  </si>
  <si>
    <t>EUR 4,32</t>
  </si>
  <si>
    <t>0,047kg</t>
  </si>
  <si>
    <t>PTFE-GLASS FABRIC-CONVEYOR BELT</t>
  </si>
  <si>
    <t>0,25 X 100</t>
  </si>
  <si>
    <t>ONLY IN ROLLS OF 50 METERS</t>
  </si>
  <si>
    <t>VYC-00133</t>
  </si>
  <si>
    <t>BREMSROLLE MIT LAGER</t>
  </si>
  <si>
    <t>BRAKE ROLLER WITH BEARING</t>
  </si>
  <si>
    <t>EUR 3,14</t>
  </si>
  <si>
    <t>BANDAGE BRAKE ROLL
GROOVED BALL BEARING</t>
  </si>
  <si>
    <t>D63,8/16mm</t>
  </si>
  <si>
    <t>VYC-00170M</t>
  </si>
  <si>
    <t>EINLEGERABST.M.SCHUSSKOMPENS.</t>
  </si>
  <si>
    <t>INSERT.FINGER SHUT-DOWN DEVICE</t>
  </si>
  <si>
    <t>EUR 18,28</t>
  </si>
  <si>
    <t>0,021kg</t>
  </si>
  <si>
    <t xml:space="preserve">PICK-UP FOR WEFT COMPENSATOR
WEFT COMPENSATOR CERAMIC
EXTENSION SPRING
BEARING F. SPRING
</t>
  </si>
  <si>
    <t>VYC-00295A</t>
  </si>
  <si>
    <t>FEDERHEBEL + BUCHSE F. BREMSF.</t>
  </si>
  <si>
    <t>SPRING LOADED ARM + BUSHING FOR BRAKE GUIDE</t>
  </si>
  <si>
    <t>EUR 3,58</t>
  </si>
  <si>
    <t>0,04kg</t>
  </si>
  <si>
    <t>SPRING LOADED ARM
BUSH F. BRAKE SPRING</t>
  </si>
  <si>
    <t>VYC-00788A</t>
  </si>
  <si>
    <t>UMLENKROLLE KPL. MIT FILZ</t>
  </si>
  <si>
    <t>RETURN PULLEY COMPLETE WITH FELT</t>
  </si>
  <si>
    <t>EUR 6,50</t>
  </si>
  <si>
    <t>0,134kg</t>
  </si>
  <si>
    <t>RETURN PULLEY
AXLE
GROOVED BALL BEARING
FELT RING</t>
  </si>
  <si>
    <t>D30/95mm</t>
  </si>
  <si>
    <t>VYC-00848A</t>
  </si>
  <si>
    <t>ANTRIEBSROLLE (5°)</t>
  </si>
  <si>
    <t>DRIVING ROLL (5°)</t>
  </si>
  <si>
    <t>EUR 12,20</t>
  </si>
  <si>
    <t>0,077kg</t>
  </si>
  <si>
    <t>DRIVE ROLL D55 (5°)
GROOVED BALL BEARING</t>
  </si>
  <si>
    <t>D55/20mm</t>
  </si>
  <si>
    <t>VYC-00924A</t>
  </si>
  <si>
    <t>UMLENKROLLE KPL. MIT FILZ KURZ</t>
  </si>
  <si>
    <t>RETURN PULLEY COMPLETE WITH FELT SHORT</t>
  </si>
  <si>
    <t>EUR 6,97</t>
  </si>
  <si>
    <t>0,103kg</t>
  </si>
  <si>
    <t>RETURN PULLEY SHORT
AXLE D12 SHORT
GROOVED BALL BEARING
FELT RING</t>
  </si>
  <si>
    <t>D30/68mm</t>
  </si>
  <si>
    <t>VYC-01259C</t>
  </si>
  <si>
    <t>SEITENSCHEIBE LANG M. FEDERRING D35</t>
  </si>
  <si>
    <t>SIDE WASHER LONG WITH SPRINGRING D35</t>
  </si>
  <si>
    <t>EUR 3,49</t>
  </si>
  <si>
    <t>0,05kg</t>
  </si>
  <si>
    <t>SIDE WASHER LONG
FOAM WASHER
SPRING RING</t>
  </si>
  <si>
    <t>D114/66,5mm</t>
  </si>
  <si>
    <t xml:space="preserve">Preis bezieht sich 
auf VYC-01952 </t>
  </si>
  <si>
    <t>VYC-01420A</t>
  </si>
  <si>
    <t>EINLEGERABSTELLUNG MIT SCHUSSFUEHRER UND MAGNET</t>
  </si>
  <si>
    <t>INSERTION FINGER STOPPING DEVICE WITH WEFT GUIDE AND MAGNET</t>
  </si>
  <si>
    <t>EUR 14,21</t>
  </si>
  <si>
    <t>0,041kg</t>
  </si>
  <si>
    <t>UPPER CLAMP
LOWER CLAMP
WEFT GUIDE WITH MAGNET</t>
  </si>
  <si>
    <t>VYC-01535A</t>
  </si>
  <si>
    <t>KETTSPULENBREMSE M. DRUCKFEDER</t>
  </si>
  <si>
    <t>CREEL BOBBIN BRAKE WITH SPRING</t>
  </si>
  <si>
    <t>EUR 0,19</t>
  </si>
  <si>
    <t>WARP BOBBIN BRAKE
PRESSURE SPRING</t>
  </si>
  <si>
    <t>VYC-01839A</t>
  </si>
  <si>
    <t>SCHUETZROLLE 4° KOMPLETT SYSTEM 2</t>
  </si>
  <si>
    <t>SHUTTLE ROLLER 4° COMPLETE SYSTEM 2</t>
  </si>
  <si>
    <t>EUR 11,92</t>
  </si>
  <si>
    <t>0,08kg</t>
  </si>
  <si>
    <t>SHUTTLE ROLE 4° SYSTEM 2 - RED
BOLT
GROOVED BALL BEARING
LOCKING RING
SLEEVE</t>
  </si>
  <si>
    <t>VYC-01840</t>
  </si>
  <si>
    <t>PILZROLLE ANTRIEB 4° KOMPLETT SYSTEM 2</t>
  </si>
  <si>
    <t>CONCHOID ROLLER DRIVE 4° COMPLETE;SYSTEM 2</t>
  </si>
  <si>
    <t>EUR 15,59</t>
  </si>
  <si>
    <t>0,14kg</t>
  </si>
  <si>
    <t>CHONCHOID ROLLER MOVEMENT 4° SYSTEM 2 - RED
AXLE
GROOVED BALL BEARING
SPACER
LOCKING RING
WASHER</t>
  </si>
  <si>
    <t>D45/42mm</t>
  </si>
  <si>
    <t>VYC-01841A</t>
  </si>
  <si>
    <t>PILZROLLE BREMSE 4° KOMPLETT SYSTEM 2</t>
  </si>
  <si>
    <t>CONCHOID BRAKE 4° COMPLETE;SYSTEM 2</t>
  </si>
  <si>
    <t>EUR 10,99</t>
  </si>
  <si>
    <t>CONCHOID ROLLER BRAKE 4° SYSTEM 2- RED
BRAKE ROLL UPTAKE
GROOVED BALL BEARING
LOCKING RING
WASHER</t>
  </si>
  <si>
    <t>D45/27mm</t>
  </si>
  <si>
    <t>VYC-01971A</t>
  </si>
  <si>
    <t>EXZENTERROLLE D50,M. BOLZEN SYSTEM 2</t>
  </si>
  <si>
    <t>EXCENTER ROLL  D50,W. BOLT;SYSTEM 2</t>
  </si>
  <si>
    <t>EUR 8,39</t>
  </si>
  <si>
    <t>PLUG
EXCENTER ROLL
GROOVED BALL BEARING
LOCKING RING</t>
  </si>
  <si>
    <t>VYC-01973</t>
  </si>
  <si>
    <t>STEUERHEBEL, EXZENTERROLLEN SYSTEM 2</t>
  </si>
  <si>
    <t>DRIVING LEVER, EXCENTER ROLL;SYSTEM 2</t>
  </si>
  <si>
    <t>EUR 45,84</t>
  </si>
  <si>
    <t>0,972kg</t>
  </si>
  <si>
    <t>Z0C-04597</t>
  </si>
  <si>
    <t>OESENBAND 2X7 FLASCHENZUG FUER 153 mm HUB</t>
  </si>
  <si>
    <t>GROMMET BAND 2X7 LIFTING BLOCK;FOR 153</t>
  </si>
  <si>
    <t>EUR 16,82</t>
  </si>
  <si>
    <t>GROMMET BAND 2X7 LIFTING 
BLOCK;FOR 153</t>
  </si>
  <si>
    <t>1486,5/88/5,5mm</t>
  </si>
  <si>
    <t>Z0C-04603</t>
  </si>
  <si>
    <t>OESENBAND 2X8 FLASCHENZUG FUER 153 mm HUB</t>
  </si>
  <si>
    <t>GROMMET BAND 2X8 LIFTING BLOCK;FOR 153</t>
  </si>
  <si>
    <t>EUR 16,67</t>
  </si>
  <si>
    <t>0,105kg</t>
  </si>
  <si>
    <t>GROMMET BAND 2X8 LIFTING 
BLOCK;FOR 153</t>
  </si>
  <si>
    <t>Z2A-03348E</t>
  </si>
  <si>
    <t>LAGERBOCK</t>
  </si>
  <si>
    <t>BEARING BLOCK</t>
  </si>
  <si>
    <t>EUR 7,39</t>
  </si>
  <si>
    <t>0,34kg</t>
  </si>
  <si>
    <t>alu cast</t>
  </si>
  <si>
    <t>110/80,3/73,3mm</t>
  </si>
  <si>
    <t>Z2C-03426G</t>
  </si>
  <si>
    <t>SCHUSSKOMPENSATOR KERAMIK MIT MAGNET</t>
  </si>
  <si>
    <t>WEFT COMPENSATOR CERAMIC</t>
  </si>
  <si>
    <t>EUR 12,52</t>
  </si>
  <si>
    <t>0,015kg</t>
  </si>
  <si>
    <t>GRANULES POLYAMID
CERAMIC- COMPENSATION CLAMP
PERMANENT MAGNET ROUND BLANK</t>
  </si>
  <si>
    <t>Z2C-05284</t>
  </si>
  <si>
    <t>BREMSBACKE SCHUETZ M. AUSGLEICHSBUEGEL</t>
  </si>
  <si>
    <t>BRAKE SHOE</t>
  </si>
  <si>
    <t>EUR 2,86</t>
  </si>
  <si>
    <t>0,073kg</t>
  </si>
  <si>
    <t>GRANULES POLYAMID
SWIVEL AXLE
INSERT PART BRAKE SHOE
BUSH F. BRAKE SPRING</t>
  </si>
  <si>
    <t>Z2O-02884A</t>
  </si>
  <si>
    <t>UEBERLAUFBUEGEL</t>
  </si>
  <si>
    <t>BRACKET ARM</t>
  </si>
  <si>
    <t>EUR 7,94</t>
  </si>
  <si>
    <t>412/140/D5x1mm</t>
  </si>
  <si>
    <t>WLG</t>
  </si>
  <si>
    <r>
      <rPr>
        <sz val="11"/>
        <color indexed="11"/>
        <rFont val="Calibri"/>
      </rPr>
      <t>stacoLOOM Alpha 61</t>
    </r>
  </si>
  <si>
    <t>Z2O-02885A</t>
  </si>
  <si>
    <t>SCHUETZBUEGEL</t>
  </si>
  <si>
    <t>GUIDE BRACKET</t>
  </si>
  <si>
    <t>EUR 8,71</t>
  </si>
  <si>
    <t>382/137/D8x1mm</t>
  </si>
  <si>
    <t>Z2U-02505A</t>
  </si>
  <si>
    <t>STEUERHEBEL</t>
  </si>
  <si>
    <t>DRIVING LEVER</t>
  </si>
  <si>
    <t>EUR 2,14</t>
  </si>
  <si>
    <t>GRANULES ALTECH PA66</t>
  </si>
  <si>
    <t>Z3A-05978A</t>
  </si>
  <si>
    <t>zinc die-casting</t>
  </si>
  <si>
    <t>Z3C-03794D</t>
  </si>
  <si>
    <t>EINLEGERHALTERUNG</t>
  </si>
  <si>
    <t>INSERTION FINGER MOUNTING SUPPORT</t>
  </si>
  <si>
    <t>GRANULES POLYAMID 
CAPRON BN50G6
APPLICATION</t>
  </si>
  <si>
    <t>129,6/23,5/</t>
  </si>
  <si>
    <t>Z3C-04513B</t>
  </si>
  <si>
    <t>KOMPENSATOR D2,1</t>
  </si>
  <si>
    <t>COMPENSATOR</t>
  </si>
  <si>
    <t>GRANULES DELRIN 511P
FLEXIBLE SPRING 
MAILLON</t>
  </si>
  <si>
    <t>Z3C-05918</t>
  </si>
  <si>
    <t>SCHUSSFADENFUEHRER MIT MAGNET</t>
  </si>
  <si>
    <t>WEFT GUIDE;WITH MAGNET</t>
  </si>
  <si>
    <t>GRANULES POLYAMID 
FRIANYL B63 KV30
CERAMIC PIPE
PERMANENT MAGNET ROUND BLANK</t>
  </si>
  <si>
    <t>Z3F-00524</t>
  </si>
  <si>
    <t>SCHUSSBUEGEL</t>
  </si>
  <si>
    <t>BRACKET FOR WEFT TAPE</t>
  </si>
  <si>
    <t>SPRING WIRE D4</t>
  </si>
  <si>
    <t>Z3U-00042A</t>
  </si>
  <si>
    <t>BANDAGE BREMSROLLE</t>
  </si>
  <si>
    <t>BANDAGE BRAKE ROLL</t>
  </si>
  <si>
    <t>GRANULES POLYAMID
ULTRAMID B3GK24</t>
  </si>
  <si>
    <t>WLX</t>
  </si>
  <si>
    <r>
      <rPr>
        <sz val="11"/>
        <color indexed="11"/>
        <rFont val="Calibri"/>
      </rPr>
      <t>stacoLOOM Omega 4</t>
    </r>
  </si>
  <si>
    <t>Z3U-01329E</t>
  </si>
  <si>
    <t>AUFNAHME F. SCHUSSKOMPENSATOR</t>
  </si>
  <si>
    <t>PICK-UP FOR WEFT COMPENSATOR</t>
  </si>
  <si>
    <t>GRANULES SNIAMID ASN 27/350SR</t>
  </si>
  <si>
    <t>103,4/53,7/14mm</t>
  </si>
  <si>
    <t>Z4C-04893</t>
  </si>
  <si>
    <t>BREMSBELAG M. KLEBEBAND 15 X 5.5 X 80</t>
  </si>
  <si>
    <t>BRAKE LINING WITH  ADHESIVE TAPE;15 X</t>
  </si>
  <si>
    <t>NAILED TEXTURE
DOUBLE SIDED ADHESIVE TAPE</t>
  </si>
  <si>
    <t>80/15/5,5mm</t>
  </si>
  <si>
    <t>Z4C-05380B</t>
  </si>
  <si>
    <t>BREMSBUCHSE HINTEN KOMPLETT</t>
  </si>
  <si>
    <t>COMPLETE BRAKE BUSH BACK</t>
  </si>
  <si>
    <t>BRAKE BUSH BACK
BUSH F. BRAKE SPRING
HEXAGON NUT M3</t>
  </si>
  <si>
    <t>Z4C-05401</t>
  </si>
  <si>
    <t>UMLENKROLLE BALLIG FERTIG MONTIERT UND UEBERDREHT</t>
  </si>
  <si>
    <t>RETURN PULLEY</t>
  </si>
  <si>
    <t xml:space="preserve">Rough - part Return Pulley
SPACER SLEEVE
GROOVED BALL BEARING
</t>
  </si>
  <si>
    <t>D30/38mm</t>
  </si>
  <si>
    <t>Z4F-00496</t>
  </si>
  <si>
    <t>ZUGFEDER D0,5/D3,8/20,5</t>
  </si>
  <si>
    <t>EXTENSION SPRING;D0,5/D3,8/20,5</t>
  </si>
  <si>
    <t>SPRING WIRE D0,5</t>
  </si>
  <si>
    <t>D0,5/D3,8/20,5</t>
  </si>
  <si>
    <t>Z4F-00538A</t>
  </si>
  <si>
    <t>ZUGFEDER d=0,63/Da=7/Lo=49</t>
  </si>
  <si>
    <t>EXTENSION SPRING;d=0,63/Da=7/Lo=49</t>
  </si>
  <si>
    <t>SPRING WIRE D0,63</t>
  </si>
  <si>
    <t>d0,63/Da7/Lo49</t>
  </si>
  <si>
    <t>Z4F-00552A</t>
  </si>
  <si>
    <t>ZUGFEDER D0,7/D10,5 X 29,6</t>
  </si>
  <si>
    <t>EXTENSION SPRING;D0,7/D10,5 X 29,6</t>
  </si>
  <si>
    <t>EXTENSION SPRING D0,7</t>
  </si>
  <si>
    <t>D0,7/D10,5/29,6</t>
  </si>
  <si>
    <t>Z4F-00573</t>
  </si>
  <si>
    <t>ZUGFEDER D0,9/D8,1 X 64,9</t>
  </si>
  <si>
    <t>EXTENSION SPRING;D0,9/D8,1 X 64,9</t>
  </si>
  <si>
    <t>SPRING WIRE D0,9</t>
  </si>
  <si>
    <t>D0,9/D8,1/64,9</t>
  </si>
  <si>
    <t>Z4T-04182C</t>
  </si>
  <si>
    <t>FOAM WASHER;D113 X D48 X 6</t>
  </si>
  <si>
    <t>FOAM PLASTICS RING DOUBLE LAYER</t>
  </si>
  <si>
    <t>D113/D48/6</t>
  </si>
  <si>
    <t>Z4T-06502</t>
  </si>
  <si>
    <t>SPULENAUFNAHME VORNE</t>
  </si>
  <si>
    <t>BOBBIN PICKUP FRONT</t>
  </si>
  <si>
    <t>BEARING ELEMENT</t>
  </si>
  <si>
    <t>D31/D10/32</t>
  </si>
  <si>
    <t>Z4T-06503</t>
  </si>
  <si>
    <t>SPULENAUFNAHME HINTEN</t>
  </si>
  <si>
    <t>BOBBIN PICKUP REAR</t>
  </si>
  <si>
    <t>D31/M6/23,5</t>
  </si>
  <si>
    <t>Z4U-01491A</t>
  </si>
  <si>
    <t>DECKSCHEIBE</t>
  </si>
  <si>
    <t>COVER DISC</t>
  </si>
  <si>
    <t>GRANULES SNIAMID ASN 27/400SR</t>
  </si>
  <si>
    <t>D30/8mm</t>
  </si>
  <si>
    <t>MWSA-13200K</t>
  </si>
  <si>
    <t>WEBSCHUETZ VERSTAERKT MIT LAENGSTRAEGERN</t>
  </si>
  <si>
    <t>SHUTTLE REINFORCED;WITH LONGITUDINAL B</t>
  </si>
  <si>
    <t>SHUTTLE BODY, BRACKET, WHEELS
SEALED PICK-UP FRONT BALL JESA
SEALED PICK-UP REAR BALL JESA
SHUTTLE- AND CHONCHOID 
ROLLER 4° System 2
FLAP BUFFER 70° WITH 
COUNTERWEIGHT
COMPENSATING BRACKET
SIDE WASHER SPHERE LONG
CORE WITH ENDPLUG</t>
  </si>
  <si>
    <t>VYC-02218</t>
  </si>
  <si>
    <t>SCHUETZRAD MIT LAGER D50 X 20 SYSTEM 2 - ZYLINDRISCH</t>
  </si>
  <si>
    <t>SHUTTLE WHEEL WITH BEARING D50 X 20;SY</t>
  </si>
  <si>
    <t>SHUTTLE WHEEL SYSTEM 2 - 
CYLINDRICAL
GROOVED BALL BEARING
LOCKING RING</t>
  </si>
  <si>
    <t>D50/20</t>
  </si>
  <si>
    <t>VYC-02342B</t>
  </si>
  <si>
    <t>FX ALPHA LAGERBOCK STEUERHEBEL SYSTEM 2</t>
  </si>
  <si>
    <t>FX ALPHA DRIVING BOCK, LEVER;SYSTEM 2</t>
  </si>
  <si>
    <t>weaving machine Fxa 6.0</t>
  </si>
  <si>
    <t>complete ?</t>
  </si>
  <si>
    <t>VYC-02344A</t>
  </si>
  <si>
    <t>EXZENTERROLLE D45,M. BOLZEN SYSTEM 2</t>
  </si>
  <si>
    <t>EXCENTER ROLL D45,W. BOLT;SYSTEM 2</t>
  </si>
  <si>
    <t>PLUG
EXCENTER ROLL D45
GROOVED BALL BEARING
LOCKING RING</t>
  </si>
  <si>
    <t>Z0C-04642A</t>
  </si>
  <si>
    <t>OESENBAND 85 2X6 153 HUB</t>
  </si>
  <si>
    <t>GROMMET BAND 85 2X6;153 HUB</t>
  </si>
  <si>
    <t xml:space="preserve">MACHINERY-BAND
EYELET
ROUND HEAD RIVET
</t>
  </si>
  <si>
    <t>1115/85/5,5mm</t>
  </si>
  <si>
    <t>Z0C-04643</t>
  </si>
  <si>
    <t>OESENBAND 85 2X8 153 HUB</t>
  </si>
  <si>
    <t>GROMMET BAND 85 2X8;153 HUB</t>
  </si>
  <si>
    <t>MWSB-13001E</t>
  </si>
  <si>
    <t>WEBSCHUETZ VERSTAERKT FX 6.1</t>
  </si>
  <si>
    <t>SHUTTLE REINFORCED;FX 6.1;</t>
  </si>
  <si>
    <t>weaving machine FX6.1</t>
  </si>
  <si>
    <t>SHUTTLE BODY, BRACKET, WHEELS
WITH CONTINUOUS AXIS
BOBBIN HOLDER
WEFT BRAKE MOTOR
SHUTTLE- AND CHONCHOID 
ROLLER 4° System 2
WEFT BRACKET
SPRING GUIDANCE F. WEFT BRACKET
SIDE WASHER SPHERE LONG
CORE WITH ENDPLUG</t>
  </si>
  <si>
    <t>WSB</t>
  </si>
  <si>
    <t>stacoLOOM FX 6.1</t>
  </si>
  <si>
    <t>VYC-02311B</t>
  </si>
  <si>
    <t>ROLLENEINLEGER SCHMAL MIT SCHUSSKOMPENSATOR</t>
  </si>
  <si>
    <t>ROLLER INSERTION FINGER NARROW WITH;WE</t>
  </si>
  <si>
    <t>INSERTION FINGER PLATE
WEFT COMPENSATOR COMPLETE
LEG SPRING
PRESS-IN WHEEL WITH BEARING
FRONTPLATE
INSERTION WHEEL
DEFLECTION_BOW
COVERING</t>
  </si>
  <si>
    <t>WSE</t>
  </si>
  <si>
    <t>stacoLOOM FX 10.0</t>
  </si>
  <si>
    <t>VYC-00345A</t>
  </si>
  <si>
    <t>EINLEGERAD 2.2 MIT LAGER D22 X 6.5</t>
  </si>
  <si>
    <t>INSERTION WHEEL</t>
  </si>
  <si>
    <t>INSERTION WHEEL 2,2
MINIATURE GROOVED BALL BEARING</t>
  </si>
  <si>
    <t>D22/6,5mm</t>
  </si>
  <si>
    <t>VYC-01399A</t>
  </si>
  <si>
    <t>SEITENSCHEIBE M. FEDERRING ID 35 X 120</t>
  </si>
  <si>
    <t>SIDEWASHER WITH SPRINGRING;ID 35 X 120</t>
  </si>
  <si>
    <t>D119/66,5</t>
  </si>
  <si>
    <t>WLA</t>
  </si>
  <si>
    <r>
      <rPr>
        <sz val="11"/>
        <color indexed="11"/>
        <rFont val="Calibri"/>
      </rPr>
      <t>stacoLOOM SL6</t>
    </r>
  </si>
  <si>
    <t>VYC-01865A</t>
  </si>
  <si>
    <t>KERAMIK-EINLEGER MIT FLIPP FUER LINKSDREHENDE MASCHINE</t>
  </si>
  <si>
    <t>CERAMIC-INSERTION FINGER WITH FLIPP;FO</t>
  </si>
  <si>
    <t>CERAMIC INSERTION FINGER KURZ
INSERTION FINGER CLAMP TOPSIDE 
SLIM INCL. FLIPSUPPORT
INSERTION FINGER CLAMP 
DOWNSIDE SLIM
WEFT GUIDE WITH MAGNET
BOLT</t>
  </si>
  <si>
    <t>VYC-01894</t>
  </si>
  <si>
    <t>UMLENKRAD MIT LAGER D15</t>
  </si>
  <si>
    <t>GUIDE WHEEL WITH BEARING;D15</t>
  </si>
  <si>
    <t>GUIDE WHEEL
MINIATURE GROOVED BALL BEARING</t>
  </si>
  <si>
    <t>D15/6,5mm</t>
  </si>
  <si>
    <t>VYC-02444</t>
  </si>
  <si>
    <t>EINPRESSRAD MIT LAGER D59 X 9.5</t>
  </si>
  <si>
    <t>PRESS-IN WHEEL WITH BEARING;D59 X 9.5</t>
  </si>
  <si>
    <t>PRESS-IN WHEEL
GROOVED BALL BEARING</t>
  </si>
  <si>
    <t>D59/9,5mm</t>
  </si>
  <si>
    <t>Z0C-04614</t>
  </si>
  <si>
    <t>OESENBAND 85 2X11</t>
  </si>
  <si>
    <t>GROMMET BAND 85 2X11</t>
  </si>
  <si>
    <t>MACHINERY-BAND
TAPE EYELET
ROUND HEAD RIVET</t>
  </si>
  <si>
    <t>1168/85/5,5mm</t>
  </si>
  <si>
    <t>Z2C-02182B</t>
  </si>
  <si>
    <t>STEUERHEBEL BREIT</t>
  </si>
  <si>
    <t>CONTROL LEVER WIDE</t>
  </si>
  <si>
    <t>GRANULES ALTECH PA
SINTERED BUSH</t>
  </si>
  <si>
    <t>316,5/108/38mm</t>
  </si>
  <si>
    <t>VYC-01897C</t>
  </si>
  <si>
    <t>SCHUSSKOMPENSATOR</t>
  </si>
  <si>
    <t>WEFT COMPENSATOR COMPLETE</t>
  </si>
  <si>
    <t>WEFT COMPENSATOR
GUIDE WHEEL WITH BEARING
CLAMP</t>
  </si>
  <si>
    <t>Z2O-02893</t>
  </si>
  <si>
    <t>HIGH-PRESSURE PIPE HPL</t>
  </si>
  <si>
    <t>409,39/136/D8x1mm</t>
  </si>
  <si>
    <t>Z2O-02924</t>
  </si>
  <si>
    <t>UEBERLAUFBUEGEL TAILLIERT</t>
  </si>
  <si>
    <t>BRACKET ARM;WAISTED</t>
  </si>
  <si>
    <t>PRECISION STEEL PIPE</t>
  </si>
  <si>
    <t>437/149/D5x1mm</t>
  </si>
  <si>
    <t>Z2T-03814</t>
  </si>
  <si>
    <t>KERAMIK EINLEGER KURZ FUER LINKSDREHENDE MASCHINE</t>
  </si>
  <si>
    <t>CERAMIC INSERTION FINGER KURZ</t>
  </si>
  <si>
    <t>SINTERED CERAMICS</t>
  </si>
  <si>
    <t>Z2U-02661</t>
  </si>
  <si>
    <t>LITZENBAND UNTEN 22</t>
  </si>
  <si>
    <t>FLEXIBLE WIRE BAND DOWN SIDE 22</t>
  </si>
  <si>
    <t>MACHINERY-BAND</t>
  </si>
  <si>
    <t>458/85/1mm</t>
  </si>
  <si>
    <t>Z3C-04464</t>
  </si>
  <si>
    <t>KOMPENSATOR D2,4</t>
  </si>
  <si>
    <t>COMPENSATOR;D2,4</t>
  </si>
  <si>
    <t>GRANULES DELRIN
FLEXIBLE SPRING
MAILLON</t>
  </si>
  <si>
    <t>Z3C-04465</t>
  </si>
  <si>
    <t>KOMPENSATOR MIT AUFSATZ D2,4</t>
  </si>
  <si>
    <t>COMPENSATOR WITH TOP PART;D2,4</t>
  </si>
  <si>
    <t>Z3F-00541</t>
  </si>
  <si>
    <t>BUEGEL FUER SCHUSSBREMSE R350</t>
  </si>
  <si>
    <t>BRACKET FOR WEFT BRAKE;R350</t>
  </si>
  <si>
    <t>ROUND BAR</t>
  </si>
  <si>
    <t>Z3U-02888</t>
  </si>
  <si>
    <t>LITZENBAND OBEN 22</t>
  </si>
  <si>
    <t>FLEXIBLE WIRE BAND TOP SIDE 22</t>
  </si>
  <si>
    <t>253/85/1mm</t>
  </si>
  <si>
    <t>Z4D-00113A</t>
  </si>
  <si>
    <t>BREMSBELAG</t>
  </si>
  <si>
    <t>BRAKE LINING</t>
  </si>
  <si>
    <t>10/10/5mm</t>
  </si>
  <si>
    <t>Z4K-08871</t>
  </si>
  <si>
    <t>ACHSE</t>
  </si>
  <si>
    <t>AXLE</t>
  </si>
  <si>
    <t>60,5mm/ SW 14</t>
  </si>
  <si>
    <t>Z4T-06550</t>
  </si>
  <si>
    <t>SCHAUMSTOFFSCHEIBE D119 X D47 X 6</t>
  </si>
  <si>
    <t>FOAM WASHER;D119 X D48 X 6</t>
  </si>
  <si>
    <t>D113/D48/6mm</t>
  </si>
  <si>
    <t>Z4T-06843</t>
  </si>
  <si>
    <t>WEBLITZE D1,28/350/1080 R/30° 350</t>
  </si>
  <si>
    <t>HEDDLE  D1,28/350/1080 R/30°;350</t>
  </si>
  <si>
    <t>HEDDLE</t>
  </si>
  <si>
    <t>D1,28/350mm</t>
  </si>
  <si>
    <t>MWSC-13001E</t>
  </si>
  <si>
    <t>WEBSCHUETZ VERSTAERKT FX 8</t>
  </si>
  <si>
    <t>SHUTTLE REINFORCED</t>
  </si>
  <si>
    <t>weaving machine FX8.0</t>
  </si>
  <si>
    <t>SHUTTLE BODY, BRACKET, WHEELS
BOBBIN HOLDER
WEFT BRAKE MOTOR
SHUTTLE- AND CHONCHOID
ROLLER 4° System 2
WEFT BRACKET
SPRING GUIDANCE F. WEFT BRACKET
SIDE WASHER SPHERE LONG
CORE WITH ENDPLUG</t>
  </si>
  <si>
    <t>WSC</t>
  </si>
  <si>
    <t>stacoLOOM FX 8.0</t>
  </si>
  <si>
    <t>Z2O-02902</t>
  </si>
  <si>
    <t>Z2U-02660</t>
  </si>
  <si>
    <t>LITZENBAND UNTEN 28</t>
  </si>
  <si>
    <t>FLEXIBLE WIRE BAND DOWN SIDE 28</t>
  </si>
  <si>
    <t>Z3U-02887</t>
  </si>
  <si>
    <t>LITZENBAND OBEN 28</t>
  </si>
  <si>
    <t>FLEXIBLE WIRE BAND TOP SIDE 28</t>
  </si>
  <si>
    <t>Z2O-02892A</t>
  </si>
  <si>
    <t>weaving machine FX 10.0</t>
  </si>
  <si>
    <t>Z2U-02658</t>
  </si>
  <si>
    <t>LITZENBAND UNTEN 34</t>
  </si>
  <si>
    <t>FLEXIBLE WIRE BAND DOWN SIDE 34</t>
  </si>
  <si>
    <t>Z3U-02881</t>
  </si>
  <si>
    <t>LITZENBAND OBEN 34</t>
  </si>
  <si>
    <t>FLEXIBLE WIRE BAND TOP SIDE 34</t>
  </si>
  <si>
    <t>VYC-01437A</t>
  </si>
  <si>
    <t>SEITENSCHEIBE M. FEDERRING D35/D110</t>
  </si>
  <si>
    <t>SIDE WASHER W. SPRING RING;D35/D110</t>
  </si>
  <si>
    <t>weaving machine alpha 6.0</t>
  </si>
  <si>
    <t>VYC-01968A</t>
  </si>
  <si>
    <t>SCHUETZRAD MIT LAGER D50 X 17 SYSTEM 2 - ZYLINDRISCH</t>
  </si>
  <si>
    <t>SHUTTLE WHEEL WITH BEARING D50 X 17;SY</t>
  </si>
  <si>
    <t>D50/17mm</t>
  </si>
  <si>
    <t>VYC-01969A</t>
  </si>
  <si>
    <t>ALPHA 6.0 SCHUETZRADEINBAU SYSTEM 2</t>
  </si>
  <si>
    <t>ALPHA 6.0 SHUTTLE WHEEL ASSEMBLY;SYSTE</t>
  </si>
  <si>
    <t>COVERING
SEALING WASHER
SHUTTLE WHEEL AXLE STAGGERED
SHUTTLE WHEEL WITH BEARING
SYSTEM 2 - CYLINDRICAL</t>
  </si>
  <si>
    <t>VYC-02099A</t>
  </si>
  <si>
    <t>ALPHA-6 LAGERBOCK, STEUERHEBEL SYSTEM 2</t>
  </si>
  <si>
    <t>ALPHA-6 BEARING BLOCK, LEVER;SYSTEM 2</t>
  </si>
  <si>
    <t>BEARING BLOCK
CONTROL LEVER WIDE
LOCKING RING
GROOVED BALL BEARING
EXCENTER ROLL  W. BOLT SYSTEM 2
SEALING WASHER
COVER DISC
SPECIAL WASHER
CONNECTING ROD</t>
  </si>
  <si>
    <t>Z0C-04560</t>
  </si>
  <si>
    <t>SCHUETZKOERPER ALPHA 6.0</t>
  </si>
  <si>
    <t>SHUTTLE BODY ALPHA 6.0</t>
  </si>
  <si>
    <t xml:space="preserve">GRANULES GRIVORY GV-5H
THREAD INSERT </t>
  </si>
  <si>
    <t>Z0C-04601</t>
  </si>
  <si>
    <t>OESENBAND 2X10 145mm HUB</t>
  </si>
  <si>
    <t>GROMMET BAND 2X10;145MM</t>
  </si>
  <si>
    <t>1110/98/5,5mm</t>
  </si>
  <si>
    <t>Z0C-04602</t>
  </si>
  <si>
    <t>OESENBAND 2X8 145mm HUB</t>
  </si>
  <si>
    <t>GROMMET BAND 2X8;145MM</t>
  </si>
  <si>
    <t>Z2O-02901</t>
  </si>
  <si>
    <t>412/132/D5x1mm</t>
  </si>
  <si>
    <t>Z2O-02903</t>
  </si>
  <si>
    <t>382/131/D8x1mm</t>
  </si>
  <si>
    <t>Z2U-01398</t>
  </si>
  <si>
    <t>PLEUEL 95/D6</t>
  </si>
  <si>
    <t>CONNECTING ROD 95/D6</t>
  </si>
  <si>
    <t>weaving machine SL 6, SL 82, alpha 6 und
 alpha 88</t>
  </si>
  <si>
    <t>GRANULES POLYAMID</t>
  </si>
  <si>
    <t>95/30/9mm</t>
  </si>
  <si>
    <t>WLE</t>
  </si>
  <si>
    <r>
      <rPr>
        <sz val="11"/>
        <color indexed="11"/>
        <rFont val="Calibri"/>
      </rPr>
      <t>stacoLOOM SL82</t>
    </r>
  </si>
  <si>
    <t>Z4C-05472</t>
  </si>
  <si>
    <t>UMLENKROLLE KPL MIT FILZ 100MM</t>
  </si>
  <si>
    <t>RETURN PULLEY CPL WITH FELT 100MM</t>
  </si>
  <si>
    <t>weaving machine SL 6, SL 82, alpha 6 und
alpha 88</t>
  </si>
  <si>
    <t>D30/108mm</t>
  </si>
  <si>
    <t>Z4T-05758A</t>
  </si>
  <si>
    <t>SCHAUMSTOFFSCHEIBE D108 X D48 X 6</t>
  </si>
  <si>
    <t>FOAM WASHER;D108 X D48 X 6</t>
  </si>
  <si>
    <t>D108/D48/6mm</t>
  </si>
  <si>
    <t>PTFE-SCOTCH TAPE SELF ADHESIVE;0,08 X</t>
  </si>
  <si>
    <t>PTFE-GLASS FABRIC-CONVEYOR BELT;0,25 X</t>
  </si>
  <si>
    <t>AHWM-01001</t>
  </si>
  <si>
    <t>KLINGE NR. 1992 N 62 X 19 X 0,6</t>
  </si>
  <si>
    <t>BLADE NO. 1992 N</t>
  </si>
  <si>
    <t>62/19/0,6mm</t>
  </si>
  <si>
    <t>AZEX-01128</t>
  </si>
  <si>
    <t>FILTERBAND L=10m, B=97mm, MESH: 260/40</t>
  </si>
  <si>
    <t>FILTER BELT;L=10m, B=97mm, MESH: 260/4</t>
  </si>
  <si>
    <t>1000/97mm</t>
  </si>
  <si>
    <t>AZEX-01151</t>
  </si>
  <si>
    <t>INDUSTRIE-KLINGE GERADKOPF 43 X 22,2 X 0,2</t>
  </si>
  <si>
    <t>INDUSTRY CUTTER BLADE WITH;UPRIGHT HEA</t>
  </si>
  <si>
    <t>43/22,2/0,2</t>
  </si>
  <si>
    <t>AZEX-01165</t>
  </si>
  <si>
    <t>FILTERBAND L=10m, B=97mm, MESH: 152/30</t>
  </si>
  <si>
    <t>FILTER BELT;L=10m, B=97mm, MESH: 152/3</t>
  </si>
  <si>
    <t xml:space="preserve">Wire mesh filter belt
Mesh per inch: warp 125; weft 30; 10m length
</t>
  </si>
  <si>
    <t>AZEX-01207</t>
  </si>
  <si>
    <t>INDUSTRIE-KLINGE GERADE 36 X 0,15 MM</t>
  </si>
  <si>
    <t>INDUSTRY CUTTER BLADE STRAIGHT;36 X 0,</t>
  </si>
  <si>
    <t>steel ice hardened</t>
  </si>
  <si>
    <t>36/0,15mm</t>
  </si>
  <si>
    <t>LAB</t>
  </si>
  <si>
    <t xml:space="preserve">Laboratory </t>
  </si>
  <si>
    <t>SCREEN;D110 mm</t>
  </si>
  <si>
    <t>MESH: 25</t>
  </si>
  <si>
    <t>AZRE-01770</t>
  </si>
  <si>
    <t>SIEBRONDE D58</t>
  </si>
  <si>
    <t>SCREEN;D58</t>
  </si>
  <si>
    <t>MESH: 25/50/120</t>
  </si>
  <si>
    <t>D58mm</t>
  </si>
  <si>
    <t>Z2C-04967B</t>
  </si>
  <si>
    <t>ANPRESSWALZE (GUMMIERT)</t>
  </si>
  <si>
    <t>PRESSURE ROLL (GUMMED)</t>
  </si>
  <si>
    <t>ROUND STEEL
MACHINE PIPE
POLYURETHAN-ROLL COVER</t>
  </si>
  <si>
    <t>D250/1990mm</t>
  </si>
  <si>
    <t>Z3U-02104</t>
  </si>
  <si>
    <t>DICHTLEISTE L=445mm</t>
  </si>
  <si>
    <t>SEALING STRIP;L=445mm</t>
  </si>
  <si>
    <t>PACKING MATERIAL F. INJECTOR</t>
  </si>
  <si>
    <t>445/12/8,1mm</t>
  </si>
  <si>
    <t>Z3U-02326</t>
  </si>
  <si>
    <t>DICHTLEISTE L=585mm</t>
  </si>
  <si>
    <t>SEALING STRIP;L=585mm</t>
  </si>
  <si>
    <t>585/12/8,1mm</t>
  </si>
  <si>
    <t>Z3U-02676</t>
  </si>
  <si>
    <t>DICHTLEISTE L=685</t>
  </si>
  <si>
    <t>SEALING STRIP;L=685mm</t>
  </si>
  <si>
    <t>685/12/8,1mm</t>
  </si>
  <si>
    <t>ECE</t>
  </si>
  <si>
    <t>lamiTEC LX / CX</t>
  </si>
  <si>
    <t>Z4I-12406</t>
  </si>
  <si>
    <t>SHEET STEEL 15</t>
  </si>
  <si>
    <t>188/65/14,5mm</t>
  </si>
  <si>
    <t>Z4I-12407A</t>
  </si>
  <si>
    <t>SHEET STEEL 10</t>
  </si>
  <si>
    <t>188/70/9mm</t>
  </si>
  <si>
    <t>ARPP-01484</t>
  </si>
  <si>
    <t>MEMBRANE PTFE</t>
  </si>
  <si>
    <t>KDB</t>
  </si>
  <si>
    <r>
      <rPr>
        <sz val="11"/>
        <color indexed="11"/>
        <rFont val="Calibri"/>
      </rPr>
      <t xml:space="preserve">dynaFLEX </t>
    </r>
  </si>
  <si>
    <t>AZFD-01060</t>
  </si>
  <si>
    <t>STAHLRAKEL HB 0,20 X 25 (1 Stk=Rolle 100m)</t>
  </si>
  <si>
    <t>STEEL DOCTOR BLADE HB;0,20 X 25  (1 PIECE = ROLL 100m)</t>
  </si>
  <si>
    <t>0,20 X 25</t>
  </si>
  <si>
    <t>ONLY IN ROLLS OF 100 METERS</t>
  </si>
  <si>
    <t>AZFD-01343</t>
  </si>
  <si>
    <t>KAMMERDICHTUNG D=108MM</t>
  </si>
  <si>
    <t>CHAMBER SEAL;D=108MM</t>
  </si>
  <si>
    <t>TRAPEZOIDAL FELT</t>
  </si>
  <si>
    <t>AZFD-01346</t>
  </si>
  <si>
    <t>ASMAPRENE SPPP80</t>
  </si>
  <si>
    <t>AZFD-01430</t>
  </si>
  <si>
    <t>FILZDICHTUNG RASTERWALZE STREIFEN 9.5 X 9.5 X 480 MM</t>
  </si>
  <si>
    <t>FELT SEAL ANILOX ROLL;STRIPE 9.5 X 9.5</t>
  </si>
  <si>
    <t>480/9,5/9,5mm</t>
  </si>
  <si>
    <t>KDK</t>
  </si>
  <si>
    <t>dynaFLEX DX</t>
  </si>
  <si>
    <t>AZFD-01433</t>
  </si>
  <si>
    <t>FILZDICHTUNG FORMATZYLINDER STREIFEN 9.5 X 9.5 X 582 MM</t>
  </si>
  <si>
    <t>FELT SEAL FORMAT CYLINDER;STRIPE 9.5 X</t>
  </si>
  <si>
    <t>582/9,5/9,5mm</t>
  </si>
  <si>
    <t>AHWM-01505</t>
  </si>
  <si>
    <t>FUENFECK-METALLMESSER</t>
  </si>
  <si>
    <t>PENTAGON-METAL KNIFE</t>
  </si>
  <si>
    <t>sinter metal</t>
  </si>
  <si>
    <t>APXD-01043</t>
  </si>
  <si>
    <t>VAKUUMSAUGER SX SPEZIAL-SI</t>
  </si>
  <si>
    <t>VACUUM CUP SX;SPECIAL-SI</t>
  </si>
  <si>
    <t>40 SHORE A</t>
  </si>
  <si>
    <t>Z2C-04784C</t>
  </si>
  <si>
    <t>PRESSEUR_VB</t>
  </si>
  <si>
    <t>IMPRESSION ROLLER VALVE PATCH</t>
  </si>
  <si>
    <t>IMPRESSION ROLLER FOR VALVE PATCH
POLYURETHANE VP251/60</t>
  </si>
  <si>
    <t>Z3C-04903C</t>
  </si>
  <si>
    <t>PRESSEUR_BB</t>
  </si>
  <si>
    <t>IMPRESSION ROLLER_BP;</t>
  </si>
  <si>
    <t>NADELHUELSE ID76/145 31200 Nadeln</t>
  </si>
  <si>
    <t>145/D108 mm</t>
  </si>
  <si>
    <t>Z3T-03412B</t>
  </si>
  <si>
    <t>NADELHUELSE ID76/145 21600 Nadeln</t>
  </si>
  <si>
    <t>NEEDLE SLEEVE ID76/145;21600 needles</t>
  </si>
  <si>
    <t>with 21600 Needles</t>
  </si>
  <si>
    <t>145/D108mm</t>
  </si>
  <si>
    <t>Z3T-03422A</t>
  </si>
  <si>
    <t>GLATTSCHNITTMESSER 200 X 50 X 6</t>
  </si>
  <si>
    <t>FLUSH CUT KNIFE;200 X 50 X 6</t>
  </si>
  <si>
    <t>CUTLERY STEEL TYP WVS</t>
  </si>
  <si>
    <t>200/50/6mm</t>
  </si>
  <si>
    <t>Z3T-03461</t>
  </si>
  <si>
    <t>GLATTSCHNITTMESSER</t>
  </si>
  <si>
    <t>FLUSH CUT KNIFE</t>
  </si>
  <si>
    <t>CUTLERY STEEL TYP WVS
MADE OF 12% CHROME STEEL
HARDENED TO 62HRC</t>
  </si>
  <si>
    <t>375/50/6mm</t>
  </si>
  <si>
    <t>NEEDLE SLEEVE ID76/145;40680 NEEDLES</t>
  </si>
  <si>
    <t>148/D108mm</t>
  </si>
  <si>
    <t>Z3T-04632A</t>
  </si>
  <si>
    <t>NADELHUELSE ID76/145 13560 Nadeln</t>
  </si>
  <si>
    <t>NEEDLE SLEEVE;13560 needles</t>
  </si>
  <si>
    <t>with 13560 Needles</t>
  </si>
  <si>
    <t>Z3T-04841A</t>
  </si>
  <si>
    <t>LOCHBAND_4MM_100-110_BODEN</t>
  </si>
  <si>
    <t>PUNCHED_TAPE_4MM_100-110_BOTTOM</t>
  </si>
  <si>
    <t>GLASS FABRIC RIBBON SELF 
ADHESIVE</t>
  </si>
  <si>
    <t>317/200/0,125mm</t>
  </si>
  <si>
    <t>KSD</t>
  </si>
  <si>
    <t>ad*starKON HX</t>
  </si>
  <si>
    <t>Z3T-05014</t>
  </si>
  <si>
    <t>LOCHBAND_4MM_150-180_BODEN</t>
  </si>
  <si>
    <t>PUNCHED_TAPE_4MM_150-180_BOTTOM</t>
  </si>
  <si>
    <t>Z3T-05015</t>
  </si>
  <si>
    <t>LOCHBAND_4MM_140_BODEN</t>
  </si>
  <si>
    <t>PUNCHED_TAPE_4MM_140_BOTTOM</t>
  </si>
  <si>
    <t>Z3T-05016</t>
  </si>
  <si>
    <t>LOCHBAND_4MM_120-130_BODEN</t>
  </si>
  <si>
    <t>PUNCHED_TAPE_4MM_120-130_BOTTOM</t>
  </si>
  <si>
    <t>Z3T-05017</t>
  </si>
  <si>
    <t>LOCHBAND_4MM_80-90_BODEN</t>
  </si>
  <si>
    <t>PUNCHED_TAPE_4MM_80-90_BOTTOM</t>
  </si>
  <si>
    <t>APXD-01046</t>
  </si>
  <si>
    <t>VAKUUMSAUGER HX SPEZIAL-SI</t>
  </si>
  <si>
    <t>VACUUM CUP HX;SPECIAL-SI</t>
  </si>
  <si>
    <t>Z2C-05264C</t>
  </si>
  <si>
    <t>IMPRESSION ROLLER_VP</t>
  </si>
  <si>
    <t>IMPRESSION ROLLER
POLYURETHANE VP251/60</t>
  </si>
  <si>
    <t>K99</t>
  </si>
  <si>
    <t>Conversion machines general</t>
  </si>
  <si>
    <t>Z2C-05430A</t>
  </si>
  <si>
    <t>PRESSEUR
POLYURETHANE VP251/60</t>
  </si>
  <si>
    <t>Z2C-05431A</t>
  </si>
  <si>
    <t>PRESSEUR_DB_EO</t>
  </si>
  <si>
    <t>IMPRESSION ROLLER_CP_EO</t>
  </si>
  <si>
    <t>Z2C-05432</t>
  </si>
  <si>
    <t>IMPRESSION ROLLER_BP</t>
  </si>
  <si>
    <t>Z3C-05908C</t>
  </si>
  <si>
    <t>Z3C-05910C</t>
  </si>
  <si>
    <t>Z3T-05087A</t>
  </si>
  <si>
    <t>GLASS FABRIC RIBBON SELF ADHESIVE</t>
  </si>
  <si>
    <t>282/190/0,125mm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</si>
</sst>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&quot; Werktage&quot;"/>
    <numFmt numFmtId="60" formatCode="0.000&quot; kg&quot;"/>
    <numFmt numFmtId="61" formatCode="&quot;EUR &quot;0.00"/>
  </numFmts>
  <fonts count="5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sz val="11"/>
      <color indexed="1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2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borderId="1" applyNumberFormat="1" applyFont="1" applyFill="0" applyBorder="1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/>
    </xf>
    <xf numFmtId="0" fontId="2" fillId="2" borderId="1" applyNumberFormat="0" applyFont="1" applyFill="1" applyBorder="1" applyAlignment="1" applyProtection="0">
      <alignment vertical="center"/>
    </xf>
    <xf numFmtId="49" fontId="2" borderId="1" applyNumberFormat="1" applyFont="1" applyFill="0" applyBorder="1" applyAlignment="1" applyProtection="0">
      <alignment horizontal="center" vertical="bottom"/>
    </xf>
    <xf numFmtId="49" fontId="2" fillId="2" borderId="1" applyNumberFormat="1" applyFont="1" applyFill="1" applyBorder="1" applyAlignment="1" applyProtection="0">
      <alignment horizontal="center" vertical="bottom"/>
    </xf>
    <xf numFmtId="0" fontId="2" borderId="1" applyNumberFormat="0" applyFont="1" applyFill="0" applyBorder="1" applyAlignment="1" applyProtection="0">
      <alignment horizontal="center" vertical="bottom"/>
    </xf>
    <xf numFmtId="59" fontId="2" fillId="2" borderId="1" applyNumberFormat="1" applyFont="1" applyFill="1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1" fontId="2" borderId="1" applyNumberFormat="1" applyFont="1" applyFill="0" applyBorder="1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2" borderId="1" applyNumberFormat="1" applyFont="1" applyFill="1" applyBorder="1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center"/>
    </xf>
    <xf numFmtId="59" fontId="2" fillId="2" borderId="1" applyNumberFormat="1" applyFont="1" applyFill="1" applyBorder="1" applyAlignment="1" applyProtection="0">
      <alignment vertical="center"/>
    </xf>
    <xf numFmtId="0" fontId="2" fillId="2" borderId="1" applyNumberFormat="1" applyFont="1" applyFill="1" applyBorder="1" applyAlignment="1" applyProtection="0">
      <alignment vertical="center"/>
    </xf>
    <xf numFmtId="1" fontId="2" fillId="2" borderId="1" applyNumberFormat="1" applyFont="1" applyFill="1" applyBorder="1" applyAlignment="1" applyProtection="0">
      <alignment vertical="center"/>
    </xf>
    <xf numFmtId="49" fontId="2" fillId="2" borderId="1" applyNumberFormat="1" applyFont="1" applyFill="1" applyBorder="1" applyAlignment="1" applyProtection="0">
      <alignment horizontal="center" vertical="bottom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0" fontId="2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2" fillId="2" borderId="2" applyNumberFormat="1" applyFont="1" applyFill="1" applyBorder="1" applyAlignment="1" applyProtection="0">
      <alignment horizontal="center" vertical="center"/>
    </xf>
    <xf numFmtId="49" fontId="2" fillId="2" borderId="2" applyNumberFormat="1" applyFont="1" applyFill="1" applyBorder="1" applyAlignment="1" applyProtection="0">
      <alignment vertical="center"/>
    </xf>
    <xf numFmtId="49" fontId="2" fillId="2" borderId="2" applyNumberFormat="1" applyFont="1" applyFill="1" applyBorder="1" applyAlignment="1" applyProtection="0">
      <alignment horizontal="center" vertical="center" wrapText="1"/>
    </xf>
    <xf numFmtId="0" fontId="2" fillId="2" borderId="2" applyNumberFormat="0" applyFont="1" applyFill="1" applyBorder="1" applyAlignment="1" applyProtection="0">
      <alignment horizontal="center" vertical="center"/>
    </xf>
    <xf numFmtId="49" fontId="2" fillId="3" borderId="3" applyNumberFormat="1" applyFont="1" applyFill="1" applyBorder="1" applyAlignment="1" applyProtection="0">
      <alignment horizontal="center" vertical="center"/>
    </xf>
    <xf numFmtId="49" fontId="2" fillId="3" borderId="4" applyNumberFormat="1" applyFont="1" applyFill="1" applyBorder="1" applyAlignment="1" applyProtection="0">
      <alignment horizontal="center" vertical="center"/>
    </xf>
    <xf numFmtId="0" fontId="2" fillId="2" borderId="5" applyNumberFormat="0" applyFont="1" applyFill="1" applyBorder="1" applyAlignment="1" applyProtection="0">
      <alignment horizontal="center" vertical="center"/>
    </xf>
    <xf numFmtId="49" fontId="2" fillId="3" borderId="4" applyNumberFormat="1" applyFont="1" applyFill="1" applyBorder="1" applyAlignment="1" applyProtection="0">
      <alignment vertical="center"/>
    </xf>
    <xf numFmtId="49" fontId="2" fillId="3" borderId="4" applyNumberFormat="1" applyFont="1" applyFill="1" applyBorder="1" applyAlignment="1" applyProtection="0">
      <alignment horizontal="center" vertical="center" wrapText="1"/>
    </xf>
    <xf numFmtId="49" fontId="2" fillId="2" borderId="6" applyNumberFormat="1" applyFont="1" applyFill="1" applyBorder="1" applyAlignment="1" applyProtection="0">
      <alignment vertical="center"/>
    </xf>
    <xf numFmtId="49" fontId="2" fillId="2" borderId="7" applyNumberFormat="1" applyFont="1" applyFill="1" applyBorder="1" applyAlignment="1" applyProtection="0">
      <alignment horizontal="center" vertical="center"/>
    </xf>
    <xf numFmtId="49" fontId="2" fillId="2" borderId="7" applyNumberFormat="1" applyFont="1" applyFill="1" applyBorder="1" applyAlignment="1" applyProtection="0">
      <alignment vertical="center"/>
    </xf>
    <xf numFmtId="49" fontId="2" fillId="2" borderId="7" applyNumberFormat="1" applyFont="1" applyFill="1" applyBorder="1" applyAlignment="1" applyProtection="0">
      <alignment horizontal="center" vertical="center" wrapText="1"/>
    </xf>
    <xf numFmtId="0" fontId="2" fillId="2" borderId="7" applyNumberFormat="0" applyFont="1" applyFill="1" applyBorder="1" applyAlignment="1" applyProtection="0">
      <alignment horizontal="center" vertical="center"/>
    </xf>
    <xf numFmtId="60" fontId="2" fillId="2" borderId="1" applyNumberFormat="1" applyFont="1" applyFill="1" applyBorder="1" applyAlignment="1" applyProtection="0">
      <alignment vertical="center"/>
    </xf>
    <xf numFmtId="61" fontId="2" fillId="2" borderId="1" applyNumberFormat="1" applyFont="1" applyFill="1" applyBorder="1" applyAlignment="1" applyProtection="0">
      <alignment horizontal="center" vertical="center"/>
    </xf>
    <xf numFmtId="61" fontId="2" fillId="2" borderId="2" applyNumberFormat="1" applyFont="1" applyFill="1" applyBorder="1" applyAlignment="1" applyProtection="0">
      <alignment horizontal="center" vertical="center"/>
    </xf>
    <xf numFmtId="0" fontId="2" fillId="2" borderId="8" applyNumberFormat="0" applyFont="1" applyFill="1" applyBorder="1" applyAlignment="1" applyProtection="0">
      <alignment horizontal="center" vertical="center"/>
    </xf>
    <xf numFmtId="61" fontId="2" fillId="4" borderId="4" applyNumberFormat="1" applyFont="1" applyFill="1" applyBorder="1" applyAlignment="1" applyProtection="0">
      <alignment horizontal="center" vertical="center"/>
    </xf>
    <xf numFmtId="60" fontId="2" fillId="2" borderId="6" applyNumberFormat="1" applyFont="1" applyFill="1" applyBorder="1" applyAlignment="1" applyProtection="0">
      <alignment vertical="center"/>
    </xf>
    <xf numFmtId="49" fontId="2" fillId="2" borderId="8" applyNumberFormat="1" applyFont="1" applyFill="1" applyBorder="1" applyAlignment="1" applyProtection="0">
      <alignment horizontal="center" vertical="center"/>
    </xf>
    <xf numFmtId="49" fontId="2" fillId="5" borderId="4" applyNumberFormat="1" applyFont="1" applyFill="1" applyBorder="1" applyAlignment="1" applyProtection="0">
      <alignment horizontal="center" vertical="center"/>
    </xf>
    <xf numFmtId="0" fontId="2" fillId="2" borderId="6" applyNumberFormat="0" applyFont="1" applyFill="1" applyBorder="1" applyAlignment="1" applyProtection="0">
      <alignment horizontal="center" vertical="center"/>
    </xf>
    <xf numFmtId="61" fontId="2" fillId="2" borderId="7" applyNumberFormat="1" applyFont="1" applyFill="1" applyBorder="1" applyAlignment="1" applyProtection="0">
      <alignment horizontal="center" vertical="center"/>
    </xf>
    <xf numFmtId="0" fontId="2" fillId="4" borderId="4" applyNumberFormat="0" applyFont="1" applyFill="1" applyBorder="1" applyAlignment="1" applyProtection="0">
      <alignment horizontal="center" vertical="center"/>
    </xf>
    <xf numFmtId="49" fontId="2" fillId="2" borderId="9" applyNumberFormat="1" applyFont="1" applyFill="1" applyBorder="1" applyAlignment="1" applyProtection="0">
      <alignment vertical="center"/>
    </xf>
    <xf numFmtId="49" fontId="2" fillId="2" borderId="10" applyNumberFormat="1" applyFont="1" applyFill="1" applyBorder="1" applyAlignment="1" applyProtection="0">
      <alignment vertical="center"/>
    </xf>
    <xf numFmtId="49" fontId="2" borderId="11" applyNumberFormat="1" applyFont="1" applyFill="0" applyBorder="1" applyAlignment="1" applyProtection="0">
      <alignment vertical="bottom"/>
    </xf>
    <xf numFmtId="59" fontId="2" fillId="2" borderId="12" applyNumberFormat="1" applyFont="1" applyFill="1" applyBorder="1" applyAlignment="1" applyProtection="0">
      <alignment vertical="center"/>
    </xf>
    <xf numFmtId="49" fontId="2" fillId="2" borderId="13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0000"/>
      <rgbColor rgb="ffffff00"/>
      <rgbColor rgb="ff00b0f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S202"/>
  <sheetViews>
    <sheetView workbookViewId="0" showGridLines="0" defaultGridColor="1"/>
  </sheetViews>
  <sheetFormatPr defaultColWidth="10.8333" defaultRowHeight="15" customHeight="1" outlineLevelRow="0" outlineLevelCol="0"/>
  <cols>
    <col min="1" max="1" width="16.5" style="1" customWidth="1"/>
    <col min="2" max="2" width="60" style="1" customWidth="1"/>
    <col min="3" max="3" width="66.8516" style="1" customWidth="1"/>
    <col min="4" max="4" width="9" style="1" customWidth="1"/>
    <col min="5" max="5" width="10.8516" style="1" customWidth="1"/>
    <col min="6" max="6" width="68.6719" style="1" customWidth="1"/>
    <col min="7" max="7" width="12.5" style="1" customWidth="1"/>
    <col min="8" max="8" width="12.8516" style="1" customWidth="1"/>
    <col min="9" max="9" width="38.3516" style="1" customWidth="1"/>
    <col min="10" max="10" width="32.5" style="1" customWidth="1"/>
    <col min="11" max="11" width="19.1719" style="1" customWidth="1"/>
    <col min="12" max="12" width="32.1719" style="1" customWidth="1"/>
    <col min="13" max="13" width="16.8516" style="1" customWidth="1"/>
    <col min="14" max="14" width="10.8516" style="1" customWidth="1"/>
    <col min="15" max="15" width="28.5" style="1" customWidth="1"/>
    <col min="16" max="16" width="28.8516" style="1" customWidth="1"/>
    <col min="17" max="18" width="10.8516" style="1" customWidth="1"/>
    <col min="19" max="19" width="18" style="1" customWidth="1"/>
    <col min="20" max="16384" width="10.8516" style="1" customWidth="1"/>
  </cols>
  <sheetData>
    <row r="1" ht="13.55" customHeight="1">
      <c r="A1" t="s" s="2">
        <v>0</v>
      </c>
      <c r="B1" t="s" s="2">
        <v>1</v>
      </c>
      <c r="C1" t="s" s="3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3">
        <v>15</v>
      </c>
      <c r="Q1" t="s" s="2">
        <v>16</v>
      </c>
      <c r="R1" t="str" s="4" cm="1">
        <f t="array" ref="R1">D1</f>
        <v>Unit</v>
      </c>
      <c r="S1" t="s" s="2">
        <v>17</v>
      </c>
    </row>
    <row r="2" ht="88.5" customHeight="1">
      <c r="A2" t="s" s="5">
        <v>18</v>
      </c>
      <c r="B2" t="s" s="5">
        <v>19</v>
      </c>
      <c r="C2" t="s" s="6">
        <v>20</v>
      </c>
      <c r="D2" t="s" s="5">
        <v>21</v>
      </c>
      <c r="E2" t="s" s="5">
        <v>22</v>
      </c>
      <c r="F2" s="7"/>
      <c r="G2" t="s" s="5">
        <v>23</v>
      </c>
      <c r="H2" t="s" s="6">
        <v>24</v>
      </c>
      <c r="I2" t="s" s="5">
        <v>25</v>
      </c>
      <c r="J2" t="s" s="5">
        <v>26</v>
      </c>
      <c r="K2" s="7"/>
      <c r="L2" s="7"/>
      <c r="M2" s="7"/>
      <c r="N2" t="s" s="2">
        <v>27</v>
      </c>
      <c r="O2" t="s" s="2">
        <v>28</v>
      </c>
      <c r="P2" s="8">
        <v>65</v>
      </c>
      <c r="Q2" s="9">
        <v>1578</v>
      </c>
      <c r="R2" t="str" s="7" cm="1">
        <f t="array" ref="R2">D2</f>
        <v>piece</v>
      </c>
      <c r="S2" s="10" cm="1">
        <f t="array" ref="S2">Q2/(260/P2)</f>
        <v>394.5</v>
      </c>
    </row>
    <row r="3" ht="104.25" customHeight="1">
      <c r="A3" t="s" s="5">
        <v>30</v>
      </c>
      <c r="B3" t="s" s="5">
        <v>31</v>
      </c>
      <c r="C3" t="s" s="11">
        <v>32</v>
      </c>
      <c r="D3" t="s" s="5">
        <v>21</v>
      </c>
      <c r="E3" t="s" s="5">
        <v>22</v>
      </c>
      <c r="F3" s="7"/>
      <c r="G3" t="s" s="5">
        <v>33</v>
      </c>
      <c r="H3" t="s" s="6">
        <v>34</v>
      </c>
      <c r="I3" t="s" s="5">
        <v>35</v>
      </c>
      <c r="J3" t="s" s="5">
        <v>36</v>
      </c>
      <c r="K3" s="7"/>
      <c r="L3" s="7"/>
      <c r="M3" s="7"/>
      <c r="N3" t="s" s="2">
        <v>37</v>
      </c>
      <c r="O3" t="s" s="2">
        <v>38</v>
      </c>
      <c r="P3" s="8">
        <v>40</v>
      </c>
      <c r="Q3" s="9">
        <v>321</v>
      </c>
      <c r="R3" t="str" s="7" cm="1">
        <f t="array" ref="R3">D3</f>
        <v>piece</v>
      </c>
      <c r="S3" s="10" cm="1">
        <f t="array" ref="S3">Q3/(260/P3)</f>
        <v>49.3846153846154</v>
      </c>
    </row>
    <row r="4" ht="13.55" customHeight="1">
      <c r="A4" t="s" s="12">
        <v>39</v>
      </c>
      <c r="B4" t="s" s="12">
        <v>40</v>
      </c>
      <c r="C4" t="s" s="12">
        <v>41</v>
      </c>
      <c r="D4" t="s" s="12">
        <v>21</v>
      </c>
      <c r="E4" t="s" s="12">
        <v>22</v>
      </c>
      <c r="F4" s="13"/>
      <c r="G4" t="s" s="12">
        <v>42</v>
      </c>
      <c r="H4" t="s" s="14">
        <v>43</v>
      </c>
      <c r="I4" t="s" s="12">
        <v>44</v>
      </c>
      <c r="J4" t="s" s="12">
        <v>45</v>
      </c>
      <c r="K4" s="13"/>
      <c r="L4" s="13"/>
      <c r="M4" s="13"/>
      <c r="N4" t="s" s="14">
        <v>46</v>
      </c>
      <c r="O4" t="s" s="14">
        <v>47</v>
      </c>
      <c r="P4" s="15">
        <v>120</v>
      </c>
      <c r="Q4" s="16">
        <v>8555</v>
      </c>
      <c r="R4" t="str" s="13" cm="1">
        <f t="array" ref="R4">D4</f>
        <v>piece</v>
      </c>
      <c r="S4" s="17" cm="1">
        <f t="array" ref="S4">Q4/(260/P4)</f>
        <v>3948.461538461540</v>
      </c>
    </row>
    <row r="5" ht="184.5" customHeight="1">
      <c r="A5" t="s" s="5">
        <v>48</v>
      </c>
      <c r="B5" t="s" s="5">
        <v>49</v>
      </c>
      <c r="C5" t="s" s="18">
        <v>50</v>
      </c>
      <c r="D5" t="s" s="5">
        <v>21</v>
      </c>
      <c r="E5" t="s" s="5">
        <v>51</v>
      </c>
      <c r="F5" s="7"/>
      <c r="G5" t="s" s="5">
        <v>52</v>
      </c>
      <c r="H5" t="s" s="6">
        <v>53</v>
      </c>
      <c r="I5" t="s" s="5">
        <v>54</v>
      </c>
      <c r="J5" t="s" s="11">
        <v>55</v>
      </c>
      <c r="K5" s="7"/>
      <c r="L5" s="7"/>
      <c r="M5" s="7"/>
      <c r="N5" t="s" s="2">
        <v>56</v>
      </c>
      <c r="O5" t="s" s="5">
        <v>57</v>
      </c>
      <c r="P5" s="8">
        <v>50</v>
      </c>
      <c r="Q5" s="9">
        <v>30229</v>
      </c>
      <c r="R5" t="str" s="7" cm="1">
        <f t="array" ref="R5">D5</f>
        <v>piece</v>
      </c>
      <c r="S5" s="10" cm="1">
        <f t="array" ref="S5">Q5/(260/P5)</f>
        <v>5813.269230769230</v>
      </c>
    </row>
    <row r="6" ht="13.55" customHeight="1">
      <c r="A6" t="s" s="12">
        <v>58</v>
      </c>
      <c r="B6" t="s" s="12">
        <v>59</v>
      </c>
      <c r="C6" t="s" s="12">
        <v>60</v>
      </c>
      <c r="D6" t="s" s="12">
        <v>21</v>
      </c>
      <c r="E6" t="s" s="12">
        <v>51</v>
      </c>
      <c r="F6" s="13"/>
      <c r="G6" t="s" s="12">
        <v>61</v>
      </c>
      <c r="H6" t="s" s="14">
        <v>62</v>
      </c>
      <c r="I6" s="13"/>
      <c r="J6" s="13"/>
      <c r="K6" s="13"/>
      <c r="L6" s="13"/>
      <c r="M6" s="13"/>
      <c r="N6" t="s" s="14">
        <v>27</v>
      </c>
      <c r="O6" t="s" s="14">
        <v>28</v>
      </c>
      <c r="P6" s="15">
        <v>130</v>
      </c>
      <c r="Q6" s="16">
        <v>2335</v>
      </c>
      <c r="R6" t="str" s="13" cm="1">
        <f t="array" ref="R6">D6</f>
        <v>piece</v>
      </c>
      <c r="S6" s="17" cm="1">
        <f t="array" ref="S6">Q6/(260/P6)</f>
        <v>1167.5</v>
      </c>
    </row>
    <row r="7" ht="30" customHeight="1">
      <c r="A7" t="s" s="12">
        <v>63</v>
      </c>
      <c r="B7" t="s" s="12">
        <v>64</v>
      </c>
      <c r="C7" t="s" s="12">
        <v>65</v>
      </c>
      <c r="D7" t="s" s="12">
        <v>21</v>
      </c>
      <c r="E7" t="s" s="12">
        <v>51</v>
      </c>
      <c r="F7" s="13"/>
      <c r="G7" t="s" s="12">
        <v>66</v>
      </c>
      <c r="H7" t="s" s="14">
        <v>67</v>
      </c>
      <c r="I7" s="13"/>
      <c r="J7" t="s" s="11">
        <v>68</v>
      </c>
      <c r="K7" s="13"/>
      <c r="L7" s="13"/>
      <c r="M7" s="13"/>
      <c r="N7" t="s" s="14">
        <v>56</v>
      </c>
      <c r="O7" t="s" s="12">
        <v>57</v>
      </c>
      <c r="P7" s="15">
        <v>50</v>
      </c>
      <c r="Q7" s="16">
        <v>38719</v>
      </c>
      <c r="R7" t="str" s="13" cm="1">
        <f t="array" ref="R7">D7</f>
        <v>piece</v>
      </c>
      <c r="S7" s="17" cm="1">
        <f t="array" ref="S7">Q7/(260/P7)</f>
        <v>7445.961538461540</v>
      </c>
    </row>
    <row r="8" ht="111.75" customHeight="1">
      <c r="A8" t="s" s="5">
        <v>69</v>
      </c>
      <c r="B8" t="s" s="5">
        <v>70</v>
      </c>
      <c r="C8" t="s" s="6">
        <v>71</v>
      </c>
      <c r="D8" t="s" s="5">
        <v>21</v>
      </c>
      <c r="E8" t="s" s="5">
        <v>51</v>
      </c>
      <c r="F8" s="7"/>
      <c r="G8" t="s" s="5">
        <v>72</v>
      </c>
      <c r="H8" t="s" s="6">
        <v>73</v>
      </c>
      <c r="I8" t="s" s="5">
        <v>54</v>
      </c>
      <c r="J8" t="s" s="5">
        <v>45</v>
      </c>
      <c r="K8" s="7"/>
      <c r="L8" s="7"/>
      <c r="M8" s="7"/>
      <c r="N8" t="s" s="2">
        <v>74</v>
      </c>
      <c r="O8" t="s" s="2">
        <v>75</v>
      </c>
      <c r="P8" s="8">
        <v>160</v>
      </c>
      <c r="Q8" s="9">
        <v>12796</v>
      </c>
      <c r="R8" t="str" s="7" cm="1">
        <f t="array" ref="R8">D8</f>
        <v>piece</v>
      </c>
      <c r="S8" s="10" cm="1">
        <f t="array" ref="S8">Q8/(260/P8)</f>
        <v>7874.461538461540</v>
      </c>
    </row>
    <row r="9" ht="105" customHeight="1">
      <c r="A9" t="s" s="12">
        <v>76</v>
      </c>
      <c r="B9" t="s" s="12">
        <v>77</v>
      </c>
      <c r="C9" t="s" s="12">
        <v>78</v>
      </c>
      <c r="D9" t="s" s="12">
        <v>21</v>
      </c>
      <c r="E9" t="s" s="12">
        <v>22</v>
      </c>
      <c r="F9" s="13"/>
      <c r="G9" t="s" s="12">
        <v>79</v>
      </c>
      <c r="H9" t="s" s="14">
        <v>80</v>
      </c>
      <c r="I9" s="13"/>
      <c r="J9" t="s" s="11">
        <v>81</v>
      </c>
      <c r="K9" s="13"/>
      <c r="L9" s="13"/>
      <c r="M9" s="13"/>
      <c r="N9" t="s" s="14">
        <v>46</v>
      </c>
      <c r="O9" t="s" s="14">
        <v>47</v>
      </c>
      <c r="P9" s="15">
        <v>50</v>
      </c>
      <c r="Q9" s="16">
        <v>1353</v>
      </c>
      <c r="R9" t="str" s="13" cm="1">
        <f t="array" ref="R9">D9</f>
        <v>piece</v>
      </c>
      <c r="S9" s="17" cm="1">
        <f t="array" ref="S9">Q9/(260/P9)</f>
        <v>260.192307692308</v>
      </c>
    </row>
    <row r="10" ht="60" customHeight="1">
      <c r="A10" t="s" s="12">
        <v>82</v>
      </c>
      <c r="B10" t="s" s="12">
        <v>83</v>
      </c>
      <c r="C10" t="s" s="12">
        <v>84</v>
      </c>
      <c r="D10" t="s" s="12">
        <v>21</v>
      </c>
      <c r="E10" t="s" s="12">
        <v>51</v>
      </c>
      <c r="F10" s="13"/>
      <c r="G10" t="s" s="12">
        <v>85</v>
      </c>
      <c r="H10" t="s" s="14">
        <v>86</v>
      </c>
      <c r="I10" s="13"/>
      <c r="J10" t="s" s="11">
        <v>87</v>
      </c>
      <c r="K10" s="13"/>
      <c r="L10" s="13"/>
      <c r="M10" s="13"/>
      <c r="N10" t="s" s="14">
        <v>56</v>
      </c>
      <c r="O10" t="s" s="12">
        <v>57</v>
      </c>
      <c r="P10" s="15">
        <v>50</v>
      </c>
      <c r="Q10" s="16">
        <v>36173</v>
      </c>
      <c r="R10" t="str" s="13" cm="1">
        <f t="array" ref="R10">D10</f>
        <v>piece</v>
      </c>
      <c r="S10" s="17" cm="1">
        <f t="array" ref="S10">Q10/(260/P10)</f>
        <v>6956.346153846150</v>
      </c>
    </row>
    <row r="11" ht="91.5" customHeight="1">
      <c r="A11" t="s" s="5">
        <v>88</v>
      </c>
      <c r="B11" t="s" s="5">
        <v>89</v>
      </c>
      <c r="C11" t="s" s="6">
        <v>90</v>
      </c>
      <c r="D11" t="s" s="5">
        <v>21</v>
      </c>
      <c r="E11" t="s" s="5">
        <v>22</v>
      </c>
      <c r="F11" s="7"/>
      <c r="G11" t="s" s="5">
        <v>91</v>
      </c>
      <c r="H11" t="s" s="6">
        <v>92</v>
      </c>
      <c r="I11" t="s" s="5">
        <v>54</v>
      </c>
      <c r="J11" t="s" s="11">
        <v>93</v>
      </c>
      <c r="K11" t="s" s="5">
        <v>94</v>
      </c>
      <c r="L11" s="7"/>
      <c r="M11" s="7"/>
      <c r="N11" t="s" s="2">
        <v>56</v>
      </c>
      <c r="O11" t="s" s="5">
        <v>57</v>
      </c>
      <c r="P11" s="8">
        <v>50</v>
      </c>
      <c r="Q11" s="9">
        <v>5165</v>
      </c>
      <c r="R11" t="str" s="7" cm="1">
        <f t="array" ref="R11">D11</f>
        <v>piece</v>
      </c>
      <c r="S11" s="10" cm="1">
        <f t="array" ref="S11">Q11/(260/P11)</f>
        <v>993.2692307692309</v>
      </c>
    </row>
    <row r="12" ht="45" customHeight="1">
      <c r="A12" t="s" s="12">
        <v>95</v>
      </c>
      <c r="B12" t="s" s="12">
        <v>96</v>
      </c>
      <c r="C12" t="s" s="12">
        <v>97</v>
      </c>
      <c r="D12" t="s" s="12">
        <v>21</v>
      </c>
      <c r="E12" t="s" s="12">
        <v>22</v>
      </c>
      <c r="F12" s="13"/>
      <c r="G12" t="s" s="12">
        <v>98</v>
      </c>
      <c r="H12" t="s" s="14">
        <v>80</v>
      </c>
      <c r="I12" t="s" s="12">
        <v>99</v>
      </c>
      <c r="J12" t="s" s="11">
        <v>100</v>
      </c>
      <c r="K12" s="13"/>
      <c r="L12" s="13"/>
      <c r="M12" t="s" s="12">
        <v>101</v>
      </c>
      <c r="N12" t="s" s="14">
        <v>102</v>
      </c>
      <c r="O12" t="s" s="14">
        <v>103</v>
      </c>
      <c r="P12" s="15">
        <v>65</v>
      </c>
      <c r="Q12" s="16">
        <v>782</v>
      </c>
      <c r="R12" t="str" s="13" cm="1">
        <f t="array" ref="R12">D12</f>
        <v>piece</v>
      </c>
      <c r="S12" s="17" cm="1">
        <f t="array" ref="S12">Q12/(260/P12)</f>
        <v>195.5</v>
      </c>
    </row>
    <row r="13" ht="45" customHeight="1">
      <c r="A13" t="s" s="12">
        <v>104</v>
      </c>
      <c r="B13" t="s" s="12">
        <v>105</v>
      </c>
      <c r="C13" t="s" s="12">
        <v>106</v>
      </c>
      <c r="D13" t="s" s="12">
        <v>21</v>
      </c>
      <c r="E13" t="s" s="12">
        <v>22</v>
      </c>
      <c r="F13" s="13"/>
      <c r="G13" t="s" s="12">
        <v>107</v>
      </c>
      <c r="H13" t="s" s="14">
        <v>108</v>
      </c>
      <c r="I13" t="s" s="12">
        <v>109</v>
      </c>
      <c r="J13" t="s" s="11">
        <v>100</v>
      </c>
      <c r="K13" s="13"/>
      <c r="L13" s="13"/>
      <c r="M13" t="s" s="12">
        <v>101</v>
      </c>
      <c r="N13" t="s" s="14">
        <v>102</v>
      </c>
      <c r="O13" t="s" s="14">
        <v>103</v>
      </c>
      <c r="P13" s="15">
        <v>65</v>
      </c>
      <c r="Q13" s="16">
        <v>675</v>
      </c>
      <c r="R13" t="str" s="13" cm="1">
        <f t="array" ref="R13">D13</f>
        <v>piece</v>
      </c>
      <c r="S13" s="17" cm="1">
        <f t="array" ref="S13">Q13/(260/P13)</f>
        <v>168.75</v>
      </c>
    </row>
    <row r="14" ht="90" customHeight="1">
      <c r="A14" t="s" s="12">
        <v>110</v>
      </c>
      <c r="B14" t="s" s="12">
        <v>111</v>
      </c>
      <c r="C14" t="s" s="12">
        <v>112</v>
      </c>
      <c r="D14" t="s" s="12">
        <v>21</v>
      </c>
      <c r="E14" t="s" s="12">
        <v>51</v>
      </c>
      <c r="F14" s="13"/>
      <c r="G14" t="s" s="12">
        <v>113</v>
      </c>
      <c r="H14" t="s" s="14">
        <v>114</v>
      </c>
      <c r="I14" s="19"/>
      <c r="J14" t="s" s="11">
        <v>115</v>
      </c>
      <c r="K14" s="13"/>
      <c r="L14" s="13"/>
      <c r="M14" s="13"/>
      <c r="N14" t="s" s="14">
        <v>56</v>
      </c>
      <c r="O14" t="s" s="12">
        <v>57</v>
      </c>
      <c r="P14" s="15">
        <v>50</v>
      </c>
      <c r="Q14" s="16">
        <v>16493</v>
      </c>
      <c r="R14" t="str" s="13" cm="1">
        <f t="array" ref="R14">D14</f>
        <v>piece</v>
      </c>
      <c r="S14" s="17" cm="1">
        <f t="array" ref="S14">Q14/(260/P14)</f>
        <v>3171.730769230770</v>
      </c>
    </row>
    <row r="15" ht="30" customHeight="1">
      <c r="A15" t="s" s="12">
        <v>116</v>
      </c>
      <c r="B15" t="s" s="12">
        <v>117</v>
      </c>
      <c r="C15" t="s" s="12">
        <v>118</v>
      </c>
      <c r="D15" t="s" s="12">
        <v>21</v>
      </c>
      <c r="E15" t="s" s="12">
        <v>22</v>
      </c>
      <c r="F15" s="13"/>
      <c r="G15" t="s" s="12">
        <v>119</v>
      </c>
      <c r="H15" t="s" s="14">
        <v>34</v>
      </c>
      <c r="I15" t="s" s="11">
        <v>120</v>
      </c>
      <c r="J15" t="s" s="11">
        <v>121</v>
      </c>
      <c r="K15" s="13"/>
      <c r="L15" s="13"/>
      <c r="M15" s="13"/>
      <c r="N15" t="s" s="14">
        <v>56</v>
      </c>
      <c r="O15" t="s" s="12">
        <v>57</v>
      </c>
      <c r="P15" s="15">
        <v>65</v>
      </c>
      <c r="Q15" s="16">
        <v>359</v>
      </c>
      <c r="R15" t="str" s="13" cm="1">
        <f t="array" ref="R15">D15</f>
        <v>piece</v>
      </c>
      <c r="S15" s="17" cm="1">
        <f t="array" ref="S15">Q15/(260/P15)</f>
        <v>89.75</v>
      </c>
    </row>
    <row r="16" ht="13.55" customHeight="1">
      <c r="A16" t="s" s="12">
        <v>122</v>
      </c>
      <c r="B16" t="s" s="12">
        <v>123</v>
      </c>
      <c r="C16" t="s" s="12">
        <v>124</v>
      </c>
      <c r="D16" t="s" s="12">
        <v>21</v>
      </c>
      <c r="E16" t="s" s="12">
        <v>22</v>
      </c>
      <c r="F16" s="13"/>
      <c r="G16" t="s" s="12">
        <v>125</v>
      </c>
      <c r="H16" t="s" s="14">
        <v>108</v>
      </c>
      <c r="I16" s="13"/>
      <c r="J16" t="s" s="12">
        <v>126</v>
      </c>
      <c r="K16" s="13"/>
      <c r="L16" s="13"/>
      <c r="M16" s="13"/>
      <c r="N16" t="s" s="14">
        <v>102</v>
      </c>
      <c r="O16" t="s" s="14">
        <v>103</v>
      </c>
      <c r="P16" s="15">
        <v>120</v>
      </c>
      <c r="Q16" s="16">
        <v>701</v>
      </c>
      <c r="R16" t="str" s="13" cm="1">
        <f t="array" ref="R16">D16</f>
        <v>piece</v>
      </c>
      <c r="S16" s="17" cm="1">
        <f t="array" ref="S16">Q16/(260/P16)</f>
        <v>323.538461538462</v>
      </c>
    </row>
    <row r="17" ht="13.55" customHeight="1">
      <c r="A17" t="s" s="12">
        <v>127</v>
      </c>
      <c r="B17" t="s" s="12">
        <v>128</v>
      </c>
      <c r="C17" t="s" s="12">
        <v>129</v>
      </c>
      <c r="D17" t="s" s="12">
        <v>21</v>
      </c>
      <c r="E17" t="s" s="12">
        <v>22</v>
      </c>
      <c r="F17" s="13"/>
      <c r="G17" t="s" s="12">
        <v>130</v>
      </c>
      <c r="H17" t="s" s="14">
        <v>131</v>
      </c>
      <c r="I17" s="13"/>
      <c r="J17" t="s" s="12">
        <v>132</v>
      </c>
      <c r="K17" s="13"/>
      <c r="L17" s="13"/>
      <c r="M17" s="13"/>
      <c r="N17" t="s" s="14">
        <v>133</v>
      </c>
      <c r="O17" t="s" s="14">
        <v>134</v>
      </c>
      <c r="P17" s="15">
        <v>60</v>
      </c>
      <c r="Q17" s="16">
        <v>58</v>
      </c>
      <c r="R17" t="str" s="13" cm="1">
        <f t="array" ref="R17">D17</f>
        <v>piece</v>
      </c>
      <c r="S17" s="17" cm="1">
        <f t="array" ref="S17">Q17/(260/P17)</f>
        <v>13.3846153846154</v>
      </c>
    </row>
    <row r="18" ht="75" customHeight="1">
      <c r="A18" t="s" s="12">
        <v>135</v>
      </c>
      <c r="B18" t="s" s="12">
        <v>136</v>
      </c>
      <c r="C18" t="s" s="12">
        <v>137</v>
      </c>
      <c r="D18" t="s" s="12">
        <v>21</v>
      </c>
      <c r="E18" t="s" s="12">
        <v>51</v>
      </c>
      <c r="F18" s="13"/>
      <c r="G18" t="s" s="12">
        <v>138</v>
      </c>
      <c r="H18" t="s" s="14">
        <v>67</v>
      </c>
      <c r="I18" s="13"/>
      <c r="J18" t="s" s="11">
        <v>139</v>
      </c>
      <c r="K18" s="13"/>
      <c r="L18" s="13"/>
      <c r="M18" s="13"/>
      <c r="N18" t="s" s="14">
        <v>56</v>
      </c>
      <c r="O18" t="s" s="12">
        <v>57</v>
      </c>
      <c r="P18" s="15">
        <v>50</v>
      </c>
      <c r="Q18" s="16">
        <v>20149</v>
      </c>
      <c r="R18" t="str" s="13" cm="1">
        <f t="array" ref="R18">D18</f>
        <v>piece</v>
      </c>
      <c r="S18" s="17" cm="1">
        <f t="array" ref="S18">Q18/(260/P18)</f>
        <v>3874.807692307690</v>
      </c>
    </row>
    <row r="19" ht="72" customHeight="1">
      <c r="A19" t="s" s="5">
        <v>140</v>
      </c>
      <c r="B19" t="s" s="5">
        <v>141</v>
      </c>
      <c r="C19" t="s" s="6">
        <v>142</v>
      </c>
      <c r="D19" t="s" s="5">
        <v>21</v>
      </c>
      <c r="E19" t="s" s="5">
        <v>51</v>
      </c>
      <c r="F19" s="7"/>
      <c r="G19" t="s" s="5">
        <v>143</v>
      </c>
      <c r="H19" t="s" s="6">
        <v>144</v>
      </c>
      <c r="I19" t="s" s="5">
        <v>54</v>
      </c>
      <c r="J19" t="s" s="11">
        <v>145</v>
      </c>
      <c r="K19" t="s" s="5">
        <v>146</v>
      </c>
      <c r="L19" s="7"/>
      <c r="M19" s="7"/>
      <c r="N19" t="s" s="2">
        <v>147</v>
      </c>
      <c r="O19" t="s" s="2">
        <v>148</v>
      </c>
      <c r="P19" s="8">
        <v>40</v>
      </c>
      <c r="Q19" s="9">
        <v>16410</v>
      </c>
      <c r="R19" t="str" s="7" cm="1">
        <f t="array" ref="R19">D19</f>
        <v>piece</v>
      </c>
      <c r="S19" s="10" cm="1">
        <f t="array" ref="S19">Q19/(260/P19)</f>
        <v>2524.615384615380</v>
      </c>
    </row>
    <row r="20" ht="75" customHeight="1">
      <c r="A20" t="s" s="12">
        <v>149</v>
      </c>
      <c r="B20" t="s" s="12">
        <v>150</v>
      </c>
      <c r="C20" t="s" s="12">
        <v>151</v>
      </c>
      <c r="D20" t="s" s="12">
        <v>21</v>
      </c>
      <c r="E20" t="s" s="12">
        <v>22</v>
      </c>
      <c r="F20" s="13"/>
      <c r="G20" s="20">
        <v>1056.77</v>
      </c>
      <c r="H20" t="s" s="14">
        <v>152</v>
      </c>
      <c r="I20" s="13"/>
      <c r="J20" t="s" s="11">
        <v>153</v>
      </c>
      <c r="K20" s="13"/>
      <c r="L20" s="13"/>
      <c r="M20" s="13"/>
      <c r="N20" t="s" s="14">
        <v>154</v>
      </c>
      <c r="O20" t="s" s="14">
        <v>155</v>
      </c>
      <c r="P20" s="15">
        <v>45</v>
      </c>
      <c r="Q20" s="16">
        <v>203</v>
      </c>
      <c r="R20" t="str" s="13" cm="1">
        <f t="array" ref="R20">D20</f>
        <v>piece</v>
      </c>
      <c r="S20" s="17" cm="1">
        <f t="array" ref="S20">Q20/(260/P20)</f>
        <v>35.1346153846154</v>
      </c>
    </row>
    <row r="21" ht="140.25" customHeight="1">
      <c r="A21" t="s" s="5">
        <v>156</v>
      </c>
      <c r="B21" t="s" s="5">
        <v>157</v>
      </c>
      <c r="C21" t="s" s="6">
        <v>157</v>
      </c>
      <c r="D21" t="s" s="5">
        <v>21</v>
      </c>
      <c r="E21" t="s" s="5">
        <v>22</v>
      </c>
      <c r="F21" s="7"/>
      <c r="G21" t="s" s="5">
        <v>158</v>
      </c>
      <c r="H21" t="s" s="6">
        <v>159</v>
      </c>
      <c r="I21" t="s" s="5">
        <v>160</v>
      </c>
      <c r="J21" t="s" s="11">
        <v>161</v>
      </c>
      <c r="K21" s="7"/>
      <c r="L21" s="7"/>
      <c r="M21" s="7"/>
      <c r="N21" t="s" s="2">
        <v>154</v>
      </c>
      <c r="O21" t="s" s="2">
        <v>155</v>
      </c>
      <c r="P21" s="8">
        <v>40</v>
      </c>
      <c r="Q21" s="9">
        <v>292</v>
      </c>
      <c r="R21" t="str" s="7" cm="1">
        <f t="array" ref="R21">D21</f>
        <v>piece</v>
      </c>
      <c r="S21" s="10" cm="1">
        <f t="array" ref="S21">Q21/(260/P21)</f>
        <v>44.9230769230769</v>
      </c>
    </row>
    <row r="22" ht="171" customHeight="1">
      <c r="A22" t="s" s="5">
        <v>162</v>
      </c>
      <c r="B22" t="s" s="5">
        <v>163</v>
      </c>
      <c r="C22" t="s" s="6">
        <v>164</v>
      </c>
      <c r="D22" t="s" s="5">
        <v>21</v>
      </c>
      <c r="E22" t="s" s="5">
        <v>22</v>
      </c>
      <c r="F22" s="7"/>
      <c r="G22" t="s" s="5">
        <v>165</v>
      </c>
      <c r="H22" t="s" s="6">
        <v>166</v>
      </c>
      <c r="I22" t="s" s="5">
        <v>167</v>
      </c>
      <c r="J22" t="s" s="5">
        <v>168</v>
      </c>
      <c r="K22" s="7"/>
      <c r="L22" s="7"/>
      <c r="M22" s="7"/>
      <c r="N22" t="s" s="2">
        <v>169</v>
      </c>
      <c r="O22" t="s" s="2">
        <v>170</v>
      </c>
      <c r="P22" s="8">
        <v>80</v>
      </c>
      <c r="Q22" s="9">
        <v>204</v>
      </c>
      <c r="R22" t="str" s="7" cm="1">
        <f t="array" ref="R22">D22</f>
        <v>piece</v>
      </c>
      <c r="S22" s="10" cm="1">
        <f t="array" ref="S22">Q22/(260/P22)</f>
        <v>62.7692307692308</v>
      </c>
    </row>
    <row r="23" ht="105" customHeight="1">
      <c r="A23" t="s" s="12">
        <v>171</v>
      </c>
      <c r="B23" t="s" s="12">
        <v>172</v>
      </c>
      <c r="C23" t="s" s="12">
        <v>173</v>
      </c>
      <c r="D23" t="s" s="12">
        <v>21</v>
      </c>
      <c r="E23" t="s" s="12">
        <v>22</v>
      </c>
      <c r="F23" s="13"/>
      <c r="G23" t="s" s="12">
        <v>174</v>
      </c>
      <c r="H23" t="s" s="14">
        <v>175</v>
      </c>
      <c r="I23" s="13"/>
      <c r="J23" t="s" s="11">
        <v>176</v>
      </c>
      <c r="K23" s="13"/>
      <c r="L23" s="13"/>
      <c r="M23" s="13"/>
      <c r="N23" t="s" s="14">
        <v>154</v>
      </c>
      <c r="O23" t="s" s="14">
        <v>155</v>
      </c>
      <c r="P23" s="15">
        <v>35</v>
      </c>
      <c r="Q23" s="16">
        <v>438</v>
      </c>
      <c r="R23" t="str" s="13" cm="1">
        <f t="array" ref="R23">D23</f>
        <v>piece</v>
      </c>
      <c r="S23" s="17" cm="1">
        <f t="array" ref="S23">Q23/(260/P23)</f>
        <v>58.9615384615385</v>
      </c>
    </row>
    <row r="24" ht="144" customHeight="1">
      <c r="A24" t="s" s="5">
        <v>177</v>
      </c>
      <c r="B24" t="s" s="5">
        <v>178</v>
      </c>
      <c r="C24" t="s" s="6">
        <v>179</v>
      </c>
      <c r="D24" t="s" s="5">
        <v>21</v>
      </c>
      <c r="E24" t="s" s="5">
        <v>22</v>
      </c>
      <c r="F24" s="7"/>
      <c r="G24" t="s" s="5">
        <v>180</v>
      </c>
      <c r="H24" t="s" s="6">
        <v>181</v>
      </c>
      <c r="I24" t="s" s="5">
        <v>182</v>
      </c>
      <c r="J24" t="s" s="11">
        <v>183</v>
      </c>
      <c r="K24" s="7"/>
      <c r="L24" s="7"/>
      <c r="M24" s="7"/>
      <c r="N24" t="s" s="2">
        <v>46</v>
      </c>
      <c r="O24" t="s" s="2">
        <v>47</v>
      </c>
      <c r="P24" s="8">
        <v>60</v>
      </c>
      <c r="Q24" s="9">
        <v>299</v>
      </c>
      <c r="R24" t="str" s="7" cm="1">
        <f t="array" ref="R24">D24</f>
        <v>piece</v>
      </c>
      <c r="S24" s="10" cm="1">
        <f t="array" ref="S24">Q24/(260/P24)</f>
        <v>69</v>
      </c>
    </row>
    <row r="25" ht="45" customHeight="1">
      <c r="A25" t="s" s="12">
        <v>184</v>
      </c>
      <c r="B25" t="s" s="12">
        <v>185</v>
      </c>
      <c r="C25" t="s" s="12">
        <v>186</v>
      </c>
      <c r="D25" t="s" s="12">
        <v>21</v>
      </c>
      <c r="E25" t="s" s="12">
        <v>51</v>
      </c>
      <c r="F25" s="13"/>
      <c r="G25" t="s" s="12">
        <v>187</v>
      </c>
      <c r="H25" t="s" s="14">
        <v>188</v>
      </c>
      <c r="I25" s="13"/>
      <c r="J25" t="s" s="11">
        <v>189</v>
      </c>
      <c r="K25" s="13"/>
      <c r="L25" s="13"/>
      <c r="M25" s="13"/>
      <c r="N25" t="s" s="14">
        <v>56</v>
      </c>
      <c r="O25" t="s" s="12">
        <v>57</v>
      </c>
      <c r="P25" s="15">
        <v>40</v>
      </c>
      <c r="Q25" s="16">
        <v>11418</v>
      </c>
      <c r="R25" t="str" s="13" cm="1">
        <f t="array" ref="R25">D25</f>
        <v>piece</v>
      </c>
      <c r="S25" s="17" cm="1">
        <f t="array" ref="S25">Q25/(260/P25)</f>
        <v>1756.615384615380</v>
      </c>
    </row>
    <row r="26" ht="127.5" customHeight="1">
      <c r="A26" t="s" s="12">
        <v>190</v>
      </c>
      <c r="B26" t="s" s="12">
        <v>191</v>
      </c>
      <c r="C26" t="s" s="12">
        <v>192</v>
      </c>
      <c r="D26" t="s" s="12">
        <v>21</v>
      </c>
      <c r="E26" t="s" s="12">
        <v>51</v>
      </c>
      <c r="F26" s="13"/>
      <c r="G26" t="s" s="12">
        <v>193</v>
      </c>
      <c r="H26" t="s" s="14">
        <v>67</v>
      </c>
      <c r="I26" t="s" s="11">
        <v>194</v>
      </c>
      <c r="J26" t="s" s="11">
        <v>195</v>
      </c>
      <c r="K26" s="13"/>
      <c r="L26" s="13"/>
      <c r="M26" s="13"/>
      <c r="N26" t="s" s="14">
        <v>46</v>
      </c>
      <c r="O26" t="s" s="14">
        <v>47</v>
      </c>
      <c r="P26" s="15">
        <v>40</v>
      </c>
      <c r="Q26" s="16">
        <v>7390</v>
      </c>
      <c r="R26" t="str" s="13" cm="1">
        <f t="array" ref="R26">D26</f>
        <v>piece</v>
      </c>
      <c r="S26" s="17" cm="1">
        <f t="array" ref="S26">Q26/(260/P26)</f>
        <v>1136.923076923080</v>
      </c>
    </row>
    <row r="27" ht="120" customHeight="1">
      <c r="A27" t="s" s="12">
        <v>196</v>
      </c>
      <c r="B27" t="s" s="12">
        <v>197</v>
      </c>
      <c r="C27" t="s" s="12">
        <v>198</v>
      </c>
      <c r="D27" t="s" s="12">
        <v>21</v>
      </c>
      <c r="E27" t="s" s="12">
        <v>22</v>
      </c>
      <c r="F27" s="13"/>
      <c r="G27" t="s" s="12">
        <v>199</v>
      </c>
      <c r="H27" t="s" s="14">
        <v>200</v>
      </c>
      <c r="I27" s="13"/>
      <c r="J27" t="s" s="11">
        <v>201</v>
      </c>
      <c r="K27" s="13"/>
      <c r="L27" s="13"/>
      <c r="M27" s="13"/>
      <c r="N27" s="16">
        <v>999</v>
      </c>
      <c r="O27" t="s" s="14">
        <v>202</v>
      </c>
      <c r="P27" s="15">
        <v>35</v>
      </c>
      <c r="Q27" s="16">
        <v>554</v>
      </c>
      <c r="R27" t="str" s="13" cm="1">
        <f t="array" ref="R27">D27</f>
        <v>piece</v>
      </c>
      <c r="S27" s="17" cm="1">
        <f t="array" ref="S27">Q27/(260/P27)</f>
        <v>74.57692307692309</v>
      </c>
    </row>
    <row r="28" ht="105" customHeight="1">
      <c r="A28" t="s" s="12">
        <v>203</v>
      </c>
      <c r="B28" t="s" s="12">
        <v>204</v>
      </c>
      <c r="C28" t="s" s="12">
        <v>205</v>
      </c>
      <c r="D28" t="s" s="12">
        <v>21</v>
      </c>
      <c r="E28" t="s" s="12">
        <v>22</v>
      </c>
      <c r="F28" s="13"/>
      <c r="G28" t="s" s="12">
        <v>206</v>
      </c>
      <c r="H28" t="s" s="14">
        <v>207</v>
      </c>
      <c r="I28" s="13"/>
      <c r="J28" t="s" s="11">
        <v>208</v>
      </c>
      <c r="K28" s="13"/>
      <c r="L28" s="13"/>
      <c r="M28" s="13"/>
      <c r="N28" t="s" s="14">
        <v>56</v>
      </c>
      <c r="O28" t="s" s="12">
        <v>57</v>
      </c>
      <c r="P28" s="15">
        <v>45</v>
      </c>
      <c r="Q28" s="16">
        <v>163</v>
      </c>
      <c r="R28" t="str" s="13" cm="1">
        <f t="array" ref="R28">D28</f>
        <v>piece</v>
      </c>
      <c r="S28" s="17" cm="1">
        <f t="array" ref="S28">Q28/(260/P28)</f>
        <v>28.2115384615385</v>
      </c>
    </row>
    <row r="29" ht="13.55" customHeight="1">
      <c r="A29" t="s" s="12">
        <v>209</v>
      </c>
      <c r="B29" t="s" s="12">
        <v>210</v>
      </c>
      <c r="C29" t="s" s="12">
        <v>211</v>
      </c>
      <c r="D29" t="s" s="12">
        <v>21</v>
      </c>
      <c r="E29" t="s" s="12">
        <v>22</v>
      </c>
      <c r="F29" s="13"/>
      <c r="G29" t="s" s="12">
        <v>212</v>
      </c>
      <c r="H29" t="s" s="14">
        <v>213</v>
      </c>
      <c r="I29" s="13"/>
      <c r="J29" t="s" s="11">
        <v>214</v>
      </c>
      <c r="K29" s="13"/>
      <c r="L29" s="13"/>
      <c r="M29" s="13"/>
      <c r="N29" t="s" s="14">
        <v>215</v>
      </c>
      <c r="O29" t="s" s="14">
        <v>216</v>
      </c>
      <c r="P29" s="15">
        <v>200</v>
      </c>
      <c r="Q29" s="16">
        <v>528</v>
      </c>
      <c r="R29" t="str" s="13" cm="1">
        <f t="array" ref="R29">D29</f>
        <v>piece</v>
      </c>
      <c r="S29" s="17" cm="1">
        <f t="array" ref="S29">Q29/(260/P29)</f>
        <v>406.153846153846</v>
      </c>
    </row>
    <row r="30" ht="183" customHeight="1">
      <c r="A30" t="s" s="5">
        <v>217</v>
      </c>
      <c r="B30" t="s" s="5">
        <v>218</v>
      </c>
      <c r="C30" t="s" s="6">
        <v>219</v>
      </c>
      <c r="D30" t="s" s="5">
        <v>21</v>
      </c>
      <c r="E30" t="s" s="5">
        <v>51</v>
      </c>
      <c r="F30" s="7"/>
      <c r="G30" t="s" s="5">
        <v>220</v>
      </c>
      <c r="H30" t="s" s="6">
        <v>221</v>
      </c>
      <c r="I30" t="s" s="11">
        <v>222</v>
      </c>
      <c r="J30" t="s" s="5">
        <v>223</v>
      </c>
      <c r="K30" t="s" s="5">
        <v>224</v>
      </c>
      <c r="L30" s="7"/>
      <c r="M30" s="7"/>
      <c r="N30" t="s" s="2">
        <v>169</v>
      </c>
      <c r="O30" t="s" s="2">
        <v>170</v>
      </c>
      <c r="P30" s="8">
        <v>50</v>
      </c>
      <c r="Q30" s="9">
        <v>148</v>
      </c>
      <c r="R30" t="str" s="7" cm="1">
        <f t="array" ref="R30">D30</f>
        <v>piece</v>
      </c>
      <c r="S30" s="10" cm="1">
        <f t="array" ref="S30">Q30/(260/P30)</f>
        <v>28.4615384615385</v>
      </c>
    </row>
    <row r="31" ht="60" customHeight="1">
      <c r="A31" t="s" s="12">
        <v>225</v>
      </c>
      <c r="B31" t="s" s="12">
        <v>226</v>
      </c>
      <c r="C31" t="s" s="12">
        <v>227</v>
      </c>
      <c r="D31" t="s" s="12">
        <v>21</v>
      </c>
      <c r="E31" t="s" s="12">
        <v>22</v>
      </c>
      <c r="F31" s="13"/>
      <c r="G31" t="s" s="12">
        <v>228</v>
      </c>
      <c r="H31" t="s" s="14">
        <v>229</v>
      </c>
      <c r="I31" s="13"/>
      <c r="J31" t="s" s="11">
        <v>230</v>
      </c>
      <c r="K31" s="13"/>
      <c r="L31" s="13"/>
      <c r="M31" s="13"/>
      <c r="N31" t="s" s="14">
        <v>46</v>
      </c>
      <c r="O31" t="s" s="14">
        <v>47</v>
      </c>
      <c r="P31" s="15">
        <v>60</v>
      </c>
      <c r="Q31" s="16">
        <v>2502</v>
      </c>
      <c r="R31" t="str" s="13" cm="1">
        <f t="array" ref="R31">D31</f>
        <v>piece</v>
      </c>
      <c r="S31" s="17" cm="1">
        <f t="array" ref="S31">Q31/(260/P31)</f>
        <v>577.384615384615</v>
      </c>
    </row>
    <row r="32" ht="13.55" customHeight="1">
      <c r="A32" t="s" s="12">
        <v>231</v>
      </c>
      <c r="B32" t="s" s="12">
        <v>232</v>
      </c>
      <c r="C32" t="s" s="12">
        <v>233</v>
      </c>
      <c r="D32" t="s" s="12">
        <v>21</v>
      </c>
      <c r="E32" t="s" s="12">
        <v>51</v>
      </c>
      <c r="F32" s="13"/>
      <c r="G32" t="s" s="12">
        <v>234</v>
      </c>
      <c r="H32" t="s" s="14">
        <v>235</v>
      </c>
      <c r="I32" s="13"/>
      <c r="J32" t="s" s="12">
        <v>45</v>
      </c>
      <c r="K32" s="13"/>
      <c r="L32" s="13"/>
      <c r="M32" s="13"/>
      <c r="N32" t="s" s="14">
        <v>46</v>
      </c>
      <c r="O32" t="s" s="14">
        <v>47</v>
      </c>
      <c r="P32" s="15">
        <v>180</v>
      </c>
      <c r="Q32" s="16">
        <v>8666</v>
      </c>
      <c r="R32" t="str" s="13" cm="1">
        <f t="array" ref="R32">D32</f>
        <v>piece</v>
      </c>
      <c r="S32" s="17" cm="1">
        <f t="array" ref="S32">Q32/(260/P32)</f>
        <v>5999.538461538460</v>
      </c>
    </row>
    <row r="33" ht="90" customHeight="1">
      <c r="A33" t="s" s="12">
        <v>236</v>
      </c>
      <c r="B33" t="s" s="12">
        <v>237</v>
      </c>
      <c r="C33" t="s" s="12">
        <v>238</v>
      </c>
      <c r="D33" t="s" s="12">
        <v>21</v>
      </c>
      <c r="E33" t="s" s="12">
        <v>22</v>
      </c>
      <c r="F33" s="13"/>
      <c r="G33" t="s" s="12">
        <v>239</v>
      </c>
      <c r="H33" t="s" s="14">
        <v>240</v>
      </c>
      <c r="I33" s="13"/>
      <c r="J33" t="s" s="11">
        <v>241</v>
      </c>
      <c r="K33" s="13"/>
      <c r="L33" s="13"/>
      <c r="M33" s="13"/>
      <c r="N33" t="s" s="14">
        <v>154</v>
      </c>
      <c r="O33" t="s" s="14">
        <v>155</v>
      </c>
      <c r="P33" s="15">
        <v>30</v>
      </c>
      <c r="Q33" s="16">
        <v>1426</v>
      </c>
      <c r="R33" t="str" s="13" cm="1">
        <f t="array" ref="R33">D33</f>
        <v>piece</v>
      </c>
      <c r="S33" s="17" cm="1">
        <f t="array" ref="S33">Q33/(260/P33)</f>
        <v>164.538461538462</v>
      </c>
    </row>
    <row r="34" ht="75" customHeight="1">
      <c r="A34" t="s" s="12">
        <v>242</v>
      </c>
      <c r="B34" t="s" s="12">
        <v>243</v>
      </c>
      <c r="C34" t="s" s="12">
        <v>244</v>
      </c>
      <c r="D34" t="s" s="12">
        <v>21</v>
      </c>
      <c r="E34" t="s" s="12">
        <v>22</v>
      </c>
      <c r="F34" s="13"/>
      <c r="G34" t="s" s="12">
        <v>245</v>
      </c>
      <c r="H34" t="s" s="14">
        <v>246</v>
      </c>
      <c r="I34" s="13"/>
      <c r="J34" t="s" s="11">
        <v>247</v>
      </c>
      <c r="K34" t="s" s="12">
        <v>248</v>
      </c>
      <c r="L34" s="13"/>
      <c r="M34" s="13"/>
      <c r="N34" t="s" s="14">
        <v>249</v>
      </c>
      <c r="O34" t="s" s="14">
        <v>250</v>
      </c>
      <c r="P34" s="15">
        <v>50</v>
      </c>
      <c r="Q34" s="16">
        <v>65</v>
      </c>
      <c r="R34" t="str" s="13" cm="1">
        <f t="array" ref="R34">D34</f>
        <v>piece</v>
      </c>
      <c r="S34" s="17" cm="1">
        <f t="array" ref="S34">Q34/(260/P34)</f>
        <v>12.5</v>
      </c>
    </row>
    <row r="35" ht="30" customHeight="1">
      <c r="A35" t="s" s="12">
        <v>251</v>
      </c>
      <c r="B35" t="s" s="12">
        <v>252</v>
      </c>
      <c r="C35" t="s" s="12">
        <v>253</v>
      </c>
      <c r="D35" t="s" s="12">
        <v>21</v>
      </c>
      <c r="E35" t="s" s="12">
        <v>51</v>
      </c>
      <c r="F35" s="13"/>
      <c r="G35" t="s" s="12">
        <v>254</v>
      </c>
      <c r="H35" t="s" s="14">
        <v>255</v>
      </c>
      <c r="I35" s="13"/>
      <c r="J35" t="s" s="11">
        <v>256</v>
      </c>
      <c r="K35" t="s" s="12">
        <v>257</v>
      </c>
      <c r="L35" s="13"/>
      <c r="M35" s="13"/>
      <c r="N35" t="s" s="14">
        <v>258</v>
      </c>
      <c r="O35" t="s" s="14">
        <v>259</v>
      </c>
      <c r="P35" s="15">
        <v>60</v>
      </c>
      <c r="Q35" s="16">
        <v>82</v>
      </c>
      <c r="R35" t="str" s="13" cm="1">
        <f t="array" ref="R35">D35</f>
        <v>piece</v>
      </c>
      <c r="S35" s="17" cm="1">
        <f t="array" ref="S35">Q35/(260/P35)</f>
        <v>18.9230769230769</v>
      </c>
    </row>
    <row r="36" ht="13.55" customHeight="1">
      <c r="A36" t="s" s="12">
        <v>260</v>
      </c>
      <c r="B36" t="s" s="12">
        <v>261</v>
      </c>
      <c r="C36" t="s" s="12">
        <v>262</v>
      </c>
      <c r="D36" t="s" s="12">
        <v>21</v>
      </c>
      <c r="E36" t="s" s="12">
        <v>51</v>
      </c>
      <c r="F36" s="13"/>
      <c r="G36" t="s" s="12">
        <v>263</v>
      </c>
      <c r="H36" t="s" s="14">
        <v>264</v>
      </c>
      <c r="I36" s="13"/>
      <c r="J36" t="s" s="12">
        <v>265</v>
      </c>
      <c r="K36" t="s" s="12">
        <v>224</v>
      </c>
      <c r="L36" s="13"/>
      <c r="M36" s="13"/>
      <c r="N36" t="s" s="14">
        <v>258</v>
      </c>
      <c r="O36" t="s" s="14">
        <v>259</v>
      </c>
      <c r="P36" s="15">
        <v>50</v>
      </c>
      <c r="Q36" s="16">
        <v>123</v>
      </c>
      <c r="R36" t="str" s="13" cm="1">
        <f t="array" ref="R36">D36</f>
        <v>piece</v>
      </c>
      <c r="S36" s="17" cm="1">
        <f t="array" ref="S36">Q36/(260/P36)</f>
        <v>23.6538461538462</v>
      </c>
    </row>
    <row r="37" ht="45" customHeight="1">
      <c r="A37" t="s" s="12">
        <v>266</v>
      </c>
      <c r="B37" t="s" s="12">
        <v>267</v>
      </c>
      <c r="C37" t="s" s="12">
        <v>268</v>
      </c>
      <c r="D37" t="s" s="12">
        <v>21</v>
      </c>
      <c r="E37" t="s" s="12">
        <v>269</v>
      </c>
      <c r="F37" s="13"/>
      <c r="G37" t="s" s="12">
        <v>270</v>
      </c>
      <c r="H37" t="s" s="14">
        <v>271</v>
      </c>
      <c r="I37" s="13"/>
      <c r="J37" t="s" s="11">
        <v>272</v>
      </c>
      <c r="K37" s="13"/>
      <c r="L37" s="13"/>
      <c r="M37" s="13"/>
      <c r="N37" t="s" s="14">
        <v>56</v>
      </c>
      <c r="O37" t="s" s="12">
        <v>57</v>
      </c>
      <c r="P37" s="15">
        <v>40</v>
      </c>
      <c r="Q37" s="16">
        <v>38290</v>
      </c>
      <c r="R37" t="str" s="13" cm="1">
        <f t="array" ref="R37">D37</f>
        <v>piece</v>
      </c>
      <c r="S37" s="17" cm="1">
        <f t="array" ref="S37">Q37/(260/P37)</f>
        <v>5890.769230769230</v>
      </c>
    </row>
    <row r="38" ht="120" customHeight="1">
      <c r="A38" t="s" s="12">
        <v>273</v>
      </c>
      <c r="B38" t="s" s="12">
        <v>274</v>
      </c>
      <c r="C38" t="s" s="12">
        <v>275</v>
      </c>
      <c r="D38" t="s" s="12">
        <v>21</v>
      </c>
      <c r="E38" t="s" s="12">
        <v>22</v>
      </c>
      <c r="F38" s="13"/>
      <c r="G38" t="s" s="12">
        <v>276</v>
      </c>
      <c r="H38" t="s" s="14">
        <v>277</v>
      </c>
      <c r="I38" s="13"/>
      <c r="J38" t="s" s="11">
        <v>278</v>
      </c>
      <c r="K38" s="13"/>
      <c r="L38" s="13"/>
      <c r="M38" s="13"/>
      <c r="N38" t="s" s="14">
        <v>279</v>
      </c>
      <c r="O38" t="s" s="14">
        <v>280</v>
      </c>
      <c r="P38" s="15">
        <v>35</v>
      </c>
      <c r="Q38" s="16">
        <v>162</v>
      </c>
      <c r="R38" t="str" s="13" cm="1">
        <f t="array" ref="R38">D38</f>
        <v>piece</v>
      </c>
      <c r="S38" s="17" cm="1">
        <f t="array" ref="S38">Q38/(260/P38)</f>
        <v>21.8076923076923</v>
      </c>
    </row>
    <row r="39" ht="75" customHeight="1">
      <c r="A39" t="s" s="12">
        <v>281</v>
      </c>
      <c r="B39" t="s" s="12">
        <v>282</v>
      </c>
      <c r="C39" t="s" s="12">
        <v>283</v>
      </c>
      <c r="D39" t="s" s="12">
        <v>21</v>
      </c>
      <c r="E39" t="s" s="12">
        <v>22</v>
      </c>
      <c r="F39" s="13"/>
      <c r="G39" t="s" s="12">
        <v>284</v>
      </c>
      <c r="H39" t="s" s="14">
        <v>285</v>
      </c>
      <c r="I39" s="13"/>
      <c r="J39" t="s" s="11">
        <v>286</v>
      </c>
      <c r="K39" s="13"/>
      <c r="L39" s="13"/>
      <c r="M39" s="13"/>
      <c r="N39" t="s" s="14">
        <v>133</v>
      </c>
      <c r="O39" t="s" s="14">
        <v>134</v>
      </c>
      <c r="P39" s="15">
        <v>100</v>
      </c>
      <c r="Q39" s="16">
        <v>238</v>
      </c>
      <c r="R39" t="str" s="13" cm="1">
        <f t="array" ref="R39">D39</f>
        <v>piece</v>
      </c>
      <c r="S39" s="17" cm="1">
        <f t="array" ref="S39">Q39/(260/P39)</f>
        <v>91.5384615384615</v>
      </c>
    </row>
    <row r="40" ht="60" customHeight="1">
      <c r="A40" t="s" s="12">
        <v>287</v>
      </c>
      <c r="B40" t="s" s="12">
        <v>288</v>
      </c>
      <c r="C40" t="s" s="12">
        <v>289</v>
      </c>
      <c r="D40" t="s" s="12">
        <v>21</v>
      </c>
      <c r="E40" t="s" s="12">
        <v>269</v>
      </c>
      <c r="F40" s="13"/>
      <c r="G40" t="s" s="12">
        <v>290</v>
      </c>
      <c r="H40" t="s" s="14">
        <v>291</v>
      </c>
      <c r="I40" s="13"/>
      <c r="J40" t="s" s="11">
        <v>292</v>
      </c>
      <c r="K40" t="s" s="12">
        <v>293</v>
      </c>
      <c r="L40" s="13"/>
      <c r="M40" s="13"/>
      <c r="N40" t="s" s="14">
        <v>294</v>
      </c>
      <c r="O40" t="s" s="14">
        <v>295</v>
      </c>
      <c r="P40" s="15">
        <v>50</v>
      </c>
      <c r="Q40" s="16">
        <v>577</v>
      </c>
      <c r="R40" t="str" s="13" cm="1">
        <f t="array" ref="R40">D40</f>
        <v>piece</v>
      </c>
      <c r="S40" s="17" cm="1">
        <f t="array" ref="S40">Q40/(260/P40)</f>
        <v>110.961538461538</v>
      </c>
    </row>
    <row r="41" ht="13.55" customHeight="1">
      <c r="A41" t="s" s="12">
        <v>296</v>
      </c>
      <c r="B41" t="s" s="12">
        <v>297</v>
      </c>
      <c r="C41" t="s" s="12">
        <v>298</v>
      </c>
      <c r="D41" t="s" s="12">
        <v>21</v>
      </c>
      <c r="E41" t="s" s="12">
        <v>269</v>
      </c>
      <c r="F41" s="13"/>
      <c r="G41" t="s" s="12">
        <v>299</v>
      </c>
      <c r="H41" t="s" s="14">
        <v>235</v>
      </c>
      <c r="I41" s="13"/>
      <c r="J41" t="s" s="12">
        <v>300</v>
      </c>
      <c r="K41" t="s" s="12">
        <v>301</v>
      </c>
      <c r="L41" s="13"/>
      <c r="M41" s="13"/>
      <c r="N41" t="s" s="14">
        <v>294</v>
      </c>
      <c r="O41" t="s" s="14">
        <v>295</v>
      </c>
      <c r="P41" s="15">
        <v>80</v>
      </c>
      <c r="Q41" s="16">
        <v>811115</v>
      </c>
      <c r="R41" t="str" s="13" cm="1">
        <f t="array" ref="R41">D41</f>
        <v>piece</v>
      </c>
      <c r="S41" s="17" cm="1">
        <f t="array" ref="S41">Q41/(260/P41)</f>
        <v>249573.846153846</v>
      </c>
    </row>
    <row r="42" ht="45" customHeight="1">
      <c r="A42" t="s" s="12">
        <v>302</v>
      </c>
      <c r="B42" t="s" s="12">
        <v>303</v>
      </c>
      <c r="C42" t="s" s="12">
        <v>304</v>
      </c>
      <c r="D42" t="s" s="12">
        <v>21</v>
      </c>
      <c r="E42" t="s" s="12">
        <v>269</v>
      </c>
      <c r="F42" s="13"/>
      <c r="G42" t="s" s="12">
        <v>305</v>
      </c>
      <c r="H42" t="s" s="14">
        <v>306</v>
      </c>
      <c r="I42" s="13"/>
      <c r="J42" t="s" s="11">
        <v>307</v>
      </c>
      <c r="K42" t="s" s="12">
        <v>293</v>
      </c>
      <c r="L42" s="13"/>
      <c r="M42" s="13"/>
      <c r="N42" t="s" s="14">
        <v>294</v>
      </c>
      <c r="O42" t="s" s="14">
        <v>295</v>
      </c>
      <c r="P42" s="15">
        <v>50</v>
      </c>
      <c r="Q42" s="16">
        <v>578</v>
      </c>
      <c r="R42" t="str" s="13" cm="1">
        <f t="array" ref="R42">D42</f>
        <v>piece</v>
      </c>
      <c r="S42" s="17" cm="1">
        <f t="array" ref="S42">Q42/(260/P42)</f>
        <v>111.153846153846</v>
      </c>
    </row>
    <row r="43" ht="45" customHeight="1">
      <c r="A43" t="s" s="12">
        <v>308</v>
      </c>
      <c r="B43" t="s" s="12">
        <v>309</v>
      </c>
      <c r="C43" t="s" s="12">
        <v>310</v>
      </c>
      <c r="D43" t="s" s="12">
        <v>21</v>
      </c>
      <c r="E43" t="s" s="12">
        <v>269</v>
      </c>
      <c r="F43" s="13"/>
      <c r="G43" t="s" s="12">
        <v>311</v>
      </c>
      <c r="H43" t="s" s="14">
        <v>312</v>
      </c>
      <c r="I43" s="13"/>
      <c r="J43" t="s" s="11">
        <v>307</v>
      </c>
      <c r="K43" t="s" s="12">
        <v>313</v>
      </c>
      <c r="L43" s="13"/>
      <c r="M43" s="13"/>
      <c r="N43" t="s" s="14">
        <v>294</v>
      </c>
      <c r="O43" t="s" s="14">
        <v>295</v>
      </c>
      <c r="P43" s="15">
        <v>50</v>
      </c>
      <c r="Q43" s="16">
        <v>333</v>
      </c>
      <c r="R43" t="str" s="13" cm="1">
        <f t="array" ref="R43">D43</f>
        <v>piece</v>
      </c>
      <c r="S43" s="17" cm="1">
        <f t="array" ref="S43">Q43/(260/P43)</f>
        <v>64.0384615384615</v>
      </c>
    </row>
    <row r="44" ht="45" customHeight="1">
      <c r="A44" t="s" s="12">
        <v>314</v>
      </c>
      <c r="B44" t="s" s="12">
        <v>315</v>
      </c>
      <c r="C44" t="s" s="12">
        <v>316</v>
      </c>
      <c r="D44" t="s" s="12">
        <v>21</v>
      </c>
      <c r="E44" t="s" s="12">
        <v>269</v>
      </c>
      <c r="F44" s="13"/>
      <c r="G44" t="s" s="12">
        <v>317</v>
      </c>
      <c r="H44" t="s" s="14">
        <v>318</v>
      </c>
      <c r="I44" s="13"/>
      <c r="J44" t="s" s="11">
        <v>319</v>
      </c>
      <c r="K44" t="s" s="12">
        <v>313</v>
      </c>
      <c r="L44" s="13"/>
      <c r="M44" s="13"/>
      <c r="N44" t="s" s="14">
        <v>294</v>
      </c>
      <c r="O44" t="s" s="14">
        <v>295</v>
      </c>
      <c r="P44" s="15">
        <v>50</v>
      </c>
      <c r="Q44" s="16">
        <v>349</v>
      </c>
      <c r="R44" t="str" s="13" cm="1">
        <f t="array" ref="R44">D44</f>
        <v>piece</v>
      </c>
      <c r="S44" s="17" cm="1">
        <f t="array" ref="S44">Q44/(260/P44)</f>
        <v>67.1153846153846</v>
      </c>
    </row>
    <row r="45" ht="13.55" customHeight="1">
      <c r="A45" t="s" s="12">
        <v>320</v>
      </c>
      <c r="B45" t="s" s="12">
        <v>321</v>
      </c>
      <c r="C45" t="s" s="12">
        <v>322</v>
      </c>
      <c r="D45" t="s" s="12">
        <v>21</v>
      </c>
      <c r="E45" t="s" s="12">
        <v>269</v>
      </c>
      <c r="F45" s="13"/>
      <c r="G45" t="s" s="12">
        <v>323</v>
      </c>
      <c r="H45" t="s" s="14">
        <v>235</v>
      </c>
      <c r="I45" s="13"/>
      <c r="J45" t="s" s="12">
        <v>324</v>
      </c>
      <c r="K45" t="s" s="12">
        <v>325</v>
      </c>
      <c r="L45" s="13"/>
      <c r="M45" s="13"/>
      <c r="N45" s="16">
        <v>999</v>
      </c>
      <c r="O45" t="s" s="14">
        <v>202</v>
      </c>
      <c r="P45" s="15">
        <v>25</v>
      </c>
      <c r="Q45" s="4"/>
      <c r="R45" t="str" s="13" cm="1">
        <f t="array" ref="R45">D45</f>
        <v>piece</v>
      </c>
      <c r="S45" s="17" cm="1">
        <f t="array" ref="S45">Q45/(260/P45)</f>
        <v>0</v>
      </c>
    </row>
    <row r="46" ht="13.55" customHeight="1">
      <c r="A46" t="s" s="12">
        <v>326</v>
      </c>
      <c r="B46" t="s" s="12">
        <v>327</v>
      </c>
      <c r="C46" t="s" s="12">
        <v>328</v>
      </c>
      <c r="D46" t="s" s="12">
        <v>21</v>
      </c>
      <c r="E46" t="s" s="12">
        <v>269</v>
      </c>
      <c r="F46" s="13"/>
      <c r="G46" t="s" s="12">
        <v>329</v>
      </c>
      <c r="H46" t="s" s="14">
        <v>330</v>
      </c>
      <c r="I46" s="13"/>
      <c r="J46" t="s" s="11">
        <v>45</v>
      </c>
      <c r="K46" t="s" s="12">
        <v>331</v>
      </c>
      <c r="L46" s="13"/>
      <c r="M46" s="13"/>
      <c r="N46" t="s" s="14">
        <v>294</v>
      </c>
      <c r="O46" t="s" s="14">
        <v>295</v>
      </c>
      <c r="P46" s="15">
        <v>50</v>
      </c>
      <c r="Q46" s="16">
        <v>541</v>
      </c>
      <c r="R46" t="str" s="13" cm="1">
        <f t="array" ref="R46">D46</f>
        <v>piece</v>
      </c>
      <c r="S46" s="17" cm="1">
        <f t="array" ref="S46">Q46/(260/P46)</f>
        <v>104.038461538462</v>
      </c>
    </row>
    <row r="47" ht="13.55" customHeight="1">
      <c r="A47" t="s" s="12">
        <v>332</v>
      </c>
      <c r="B47" t="s" s="12">
        <v>333</v>
      </c>
      <c r="C47" t="s" s="12">
        <v>334</v>
      </c>
      <c r="D47" t="s" s="12">
        <v>21</v>
      </c>
      <c r="E47" t="s" s="12">
        <v>269</v>
      </c>
      <c r="F47" s="13"/>
      <c r="G47" t="s" s="12">
        <v>335</v>
      </c>
      <c r="H47" t="s" s="14">
        <v>336</v>
      </c>
      <c r="I47" s="13"/>
      <c r="J47" t="s" s="11">
        <v>45</v>
      </c>
      <c r="K47" t="s" s="12">
        <v>337</v>
      </c>
      <c r="L47" s="13"/>
      <c r="M47" s="13"/>
      <c r="N47" t="s" s="14">
        <v>294</v>
      </c>
      <c r="O47" t="s" s="14">
        <v>295</v>
      </c>
      <c r="P47" s="15">
        <v>50</v>
      </c>
      <c r="Q47" s="16">
        <v>483</v>
      </c>
      <c r="R47" t="str" s="13" cm="1">
        <f t="array" ref="R47">D47</f>
        <v>piece</v>
      </c>
      <c r="S47" s="17" cm="1">
        <f t="array" ref="S47">Q47/(260/P47)</f>
        <v>92.8846153846154</v>
      </c>
    </row>
    <row r="48" ht="13.55" customHeight="1">
      <c r="A48" t="s" s="12">
        <v>338</v>
      </c>
      <c r="B48" t="s" s="12">
        <v>339</v>
      </c>
      <c r="C48" t="s" s="12">
        <v>340</v>
      </c>
      <c r="D48" t="s" s="12">
        <v>21</v>
      </c>
      <c r="E48" t="s" s="12">
        <v>269</v>
      </c>
      <c r="F48" s="13"/>
      <c r="G48" t="s" s="12">
        <v>341</v>
      </c>
      <c r="H48" t="s" s="14">
        <v>342</v>
      </c>
      <c r="I48" s="13"/>
      <c r="J48" t="s" s="11">
        <v>343</v>
      </c>
      <c r="K48" t="s" s="12">
        <v>344</v>
      </c>
      <c r="L48" s="13"/>
      <c r="M48" s="13"/>
      <c r="N48" t="s" s="14">
        <v>345</v>
      </c>
      <c r="O48" t="s" s="14">
        <v>346</v>
      </c>
      <c r="P48" s="15">
        <v>40</v>
      </c>
      <c r="Q48" s="16">
        <v>420</v>
      </c>
      <c r="R48" t="str" s="13" cm="1">
        <f t="array" ref="R48">D48</f>
        <v>piece</v>
      </c>
      <c r="S48" s="17" cm="1">
        <f t="array" ref="S48">Q48/(260/P48)</f>
        <v>64.6153846153846</v>
      </c>
    </row>
    <row r="49" ht="13.55" customHeight="1">
      <c r="A49" t="s" s="12">
        <v>347</v>
      </c>
      <c r="B49" t="s" s="12">
        <v>348</v>
      </c>
      <c r="C49" t="s" s="12">
        <v>349</v>
      </c>
      <c r="D49" t="s" s="12">
        <v>21</v>
      </c>
      <c r="E49" t="s" s="12">
        <v>269</v>
      </c>
      <c r="F49" s="13"/>
      <c r="G49" t="s" s="12">
        <v>350</v>
      </c>
      <c r="H49" t="s" s="14">
        <v>92</v>
      </c>
      <c r="I49" s="13"/>
      <c r="J49" t="s" s="11">
        <v>351</v>
      </c>
      <c r="K49" t="s" s="12">
        <v>344</v>
      </c>
      <c r="L49" s="13"/>
      <c r="M49" s="13"/>
      <c r="N49" t="s" s="14">
        <v>345</v>
      </c>
      <c r="O49" t="s" s="14">
        <v>346</v>
      </c>
      <c r="P49" s="15">
        <v>40</v>
      </c>
      <c r="Q49" s="16">
        <v>76</v>
      </c>
      <c r="R49" t="str" s="13" cm="1">
        <f t="array" ref="R49">D49</f>
        <v>piece</v>
      </c>
      <c r="S49" s="17" cm="1">
        <f t="array" ref="S49">Q49/(260/P49)</f>
        <v>11.6923076923077</v>
      </c>
    </row>
    <row r="50" ht="13.55" customHeight="1">
      <c r="A50" t="s" s="12">
        <v>352</v>
      </c>
      <c r="B50" t="s" s="12">
        <v>353</v>
      </c>
      <c r="C50" t="s" s="12">
        <v>354</v>
      </c>
      <c r="D50" t="s" s="12">
        <v>21</v>
      </c>
      <c r="E50" t="s" s="12">
        <v>269</v>
      </c>
      <c r="F50" s="13"/>
      <c r="G50" t="s" s="12">
        <v>355</v>
      </c>
      <c r="H50" t="s" s="14">
        <v>356</v>
      </c>
      <c r="I50" s="13"/>
      <c r="J50" t="s" s="11">
        <v>357</v>
      </c>
      <c r="K50" t="s" s="12">
        <v>344</v>
      </c>
      <c r="L50" s="13"/>
      <c r="M50" s="13"/>
      <c r="N50" t="s" s="14">
        <v>345</v>
      </c>
      <c r="O50" t="s" s="14">
        <v>346</v>
      </c>
      <c r="P50" s="15">
        <v>40</v>
      </c>
      <c r="Q50" s="16">
        <v>106</v>
      </c>
      <c r="R50" t="str" s="13" cm="1">
        <f t="array" ref="R50">D50</f>
        <v>piece</v>
      </c>
      <c r="S50" s="17" cm="1">
        <f t="array" ref="S50">Q50/(260/P50)</f>
        <v>16.3076923076923</v>
      </c>
    </row>
    <row r="51" ht="13.55" customHeight="1">
      <c r="A51" t="s" s="12">
        <v>358</v>
      </c>
      <c r="B51" t="s" s="12">
        <v>359</v>
      </c>
      <c r="C51" t="s" s="12">
        <v>360</v>
      </c>
      <c r="D51" t="s" s="12">
        <v>21</v>
      </c>
      <c r="E51" t="s" s="12">
        <v>269</v>
      </c>
      <c r="F51" s="13"/>
      <c r="G51" t="s" s="12">
        <v>361</v>
      </c>
      <c r="H51" t="s" s="14">
        <v>362</v>
      </c>
      <c r="I51" s="13"/>
      <c r="J51" t="s" s="11">
        <v>45</v>
      </c>
      <c r="K51" t="s" s="12">
        <v>363</v>
      </c>
      <c r="L51" s="13"/>
      <c r="M51" s="13"/>
      <c r="N51" s="16">
        <v>999</v>
      </c>
      <c r="O51" t="s" s="14">
        <v>202</v>
      </c>
      <c r="P51" s="15">
        <v>20</v>
      </c>
      <c r="Q51" s="16">
        <v>820</v>
      </c>
      <c r="R51" t="str" s="13" cm="1">
        <f t="array" ref="R51">D51</f>
        <v>piece</v>
      </c>
      <c r="S51" s="17" cm="1">
        <f t="array" ref="S51">Q51/(260/P51)</f>
        <v>63.0769230769231</v>
      </c>
    </row>
    <row r="52" ht="13.55" customHeight="1">
      <c r="A52" t="s" s="12">
        <v>364</v>
      </c>
      <c r="B52" t="s" s="12">
        <v>365</v>
      </c>
      <c r="C52" t="s" s="12">
        <v>366</v>
      </c>
      <c r="D52" t="s" s="12">
        <v>21</v>
      </c>
      <c r="E52" t="s" s="12">
        <v>269</v>
      </c>
      <c r="F52" s="13"/>
      <c r="G52" t="s" s="12">
        <v>367</v>
      </c>
      <c r="H52" t="s" s="14">
        <v>368</v>
      </c>
      <c r="I52" s="13"/>
      <c r="J52" t="s" s="12">
        <v>369</v>
      </c>
      <c r="K52" t="s" s="12">
        <v>370</v>
      </c>
      <c r="L52" s="13"/>
      <c r="M52" s="13"/>
      <c r="N52" s="16">
        <v>999</v>
      </c>
      <c r="O52" t="s" s="14">
        <v>202</v>
      </c>
      <c r="P52" s="15">
        <v>15</v>
      </c>
      <c r="Q52" s="16">
        <v>7540</v>
      </c>
      <c r="R52" t="str" s="13" cm="1">
        <f t="array" ref="R52">D52</f>
        <v>piece</v>
      </c>
      <c r="S52" s="17" cm="1">
        <f t="array" ref="S52">Q52/(260/P52)</f>
        <v>435</v>
      </c>
    </row>
    <row r="53" ht="13.55" customHeight="1">
      <c r="A53" t="s" s="12">
        <v>371</v>
      </c>
      <c r="B53" t="s" s="12">
        <v>372</v>
      </c>
      <c r="C53" t="s" s="12">
        <v>373</v>
      </c>
      <c r="D53" t="s" s="12">
        <v>21</v>
      </c>
      <c r="E53" t="s" s="12">
        <v>269</v>
      </c>
      <c r="F53" s="13"/>
      <c r="G53" t="s" s="12">
        <v>374</v>
      </c>
      <c r="H53" t="s" s="14">
        <v>375</v>
      </c>
      <c r="I53" s="13"/>
      <c r="J53" t="s" s="12">
        <v>376</v>
      </c>
      <c r="K53" t="s" s="12">
        <v>370</v>
      </c>
      <c r="L53" s="13"/>
      <c r="M53" s="13"/>
      <c r="N53" s="16">
        <v>999</v>
      </c>
      <c r="O53" t="s" s="14">
        <v>202</v>
      </c>
      <c r="P53" s="15">
        <v>25</v>
      </c>
      <c r="Q53" s="16">
        <v>4160</v>
      </c>
      <c r="R53" t="str" s="13" cm="1">
        <f t="array" ref="R53">D53</f>
        <v>piece</v>
      </c>
      <c r="S53" s="17" cm="1">
        <f t="array" ref="S53">Q53/(260/P53)</f>
        <v>400</v>
      </c>
    </row>
    <row r="54" ht="13.55" customHeight="1">
      <c r="A54" t="s" s="12">
        <v>377</v>
      </c>
      <c r="B54" t="s" s="12">
        <v>378</v>
      </c>
      <c r="C54" t="s" s="12">
        <v>379</v>
      </c>
      <c r="D54" t="s" s="12">
        <v>21</v>
      </c>
      <c r="E54" t="s" s="12">
        <v>269</v>
      </c>
      <c r="F54" s="13"/>
      <c r="G54" t="s" s="12">
        <v>380</v>
      </c>
      <c r="H54" t="s" s="14">
        <v>381</v>
      </c>
      <c r="I54" s="13"/>
      <c r="J54" t="s" s="12">
        <v>382</v>
      </c>
      <c r="K54" t="s" s="12">
        <v>370</v>
      </c>
      <c r="L54" s="13"/>
      <c r="M54" s="13"/>
      <c r="N54" s="16">
        <v>999</v>
      </c>
      <c r="O54" t="s" s="14">
        <v>202</v>
      </c>
      <c r="P54" s="15">
        <v>15</v>
      </c>
      <c r="Q54" s="16">
        <v>4600</v>
      </c>
      <c r="R54" t="str" s="13" cm="1">
        <f t="array" ref="R54">D54</f>
        <v>piece</v>
      </c>
      <c r="S54" s="17" cm="1">
        <f t="array" ref="S54">Q54/(260/P54)</f>
        <v>265.384615384615</v>
      </c>
    </row>
    <row r="55" ht="13.55" customHeight="1">
      <c r="A55" t="s" s="12">
        <v>383</v>
      </c>
      <c r="B55" t="s" s="12">
        <v>384</v>
      </c>
      <c r="C55" t="s" s="12">
        <v>385</v>
      </c>
      <c r="D55" t="s" s="12">
        <v>21</v>
      </c>
      <c r="E55" t="s" s="12">
        <v>269</v>
      </c>
      <c r="F55" s="13"/>
      <c r="G55" t="s" s="12">
        <v>386</v>
      </c>
      <c r="H55" t="s" s="14">
        <v>387</v>
      </c>
      <c r="I55" s="13"/>
      <c r="J55" t="s" s="12">
        <v>388</v>
      </c>
      <c r="K55" t="s" s="12">
        <v>370</v>
      </c>
      <c r="L55" s="13"/>
      <c r="M55" s="13"/>
      <c r="N55" s="16">
        <v>999</v>
      </c>
      <c r="O55" t="s" s="14">
        <v>202</v>
      </c>
      <c r="P55" s="15">
        <v>10</v>
      </c>
      <c r="Q55" s="16">
        <v>1270</v>
      </c>
      <c r="R55" t="str" s="13" cm="1">
        <f t="array" ref="R55">D55</f>
        <v>piece</v>
      </c>
      <c r="S55" s="17" cm="1">
        <f t="array" ref="S55">Q55/(260/P55)</f>
        <v>48.8461538461538</v>
      </c>
    </row>
    <row r="56" ht="13.55" customHeight="1">
      <c r="A56" t="s" s="12">
        <v>389</v>
      </c>
      <c r="B56" t="s" s="12">
        <v>390</v>
      </c>
      <c r="C56" t="s" s="12">
        <v>391</v>
      </c>
      <c r="D56" t="s" s="12">
        <v>21</v>
      </c>
      <c r="E56" t="s" s="12">
        <v>269</v>
      </c>
      <c r="F56" s="13"/>
      <c r="G56" t="s" s="12">
        <v>323</v>
      </c>
      <c r="H56" t="s" s="14">
        <v>392</v>
      </c>
      <c r="I56" s="13"/>
      <c r="J56" t="s" s="12">
        <v>393</v>
      </c>
      <c r="K56" t="s" s="12">
        <v>370</v>
      </c>
      <c r="L56" s="13"/>
      <c r="M56" s="13"/>
      <c r="N56" s="16">
        <v>999</v>
      </c>
      <c r="O56" t="s" s="14">
        <v>202</v>
      </c>
      <c r="P56" s="15">
        <v>20</v>
      </c>
      <c r="Q56" s="16">
        <v>350</v>
      </c>
      <c r="R56" t="str" s="13" cm="1">
        <f t="array" ref="R56">D56</f>
        <v>piece</v>
      </c>
      <c r="S56" s="17" cm="1">
        <f t="array" ref="S56">Q56/(260/P56)</f>
        <v>26.9230769230769</v>
      </c>
    </row>
    <row r="57" ht="13.55" customHeight="1">
      <c r="A57" t="s" s="12">
        <v>394</v>
      </c>
      <c r="B57" t="s" s="12">
        <v>395</v>
      </c>
      <c r="C57" t="s" s="12">
        <v>396</v>
      </c>
      <c r="D57" t="s" s="12">
        <v>21</v>
      </c>
      <c r="E57" t="s" s="12">
        <v>269</v>
      </c>
      <c r="F57" s="13"/>
      <c r="G57" t="s" s="12">
        <v>397</v>
      </c>
      <c r="H57" t="s" s="14">
        <v>398</v>
      </c>
      <c r="I57" s="13"/>
      <c r="J57" t="s" s="12">
        <v>399</v>
      </c>
      <c r="K57" t="s" s="12">
        <v>344</v>
      </c>
      <c r="L57" s="13"/>
      <c r="M57" s="13"/>
      <c r="N57" t="s" s="14">
        <v>294</v>
      </c>
      <c r="O57" t="s" s="14">
        <v>295</v>
      </c>
      <c r="P57" s="15">
        <v>40</v>
      </c>
      <c r="Q57" s="16">
        <v>296</v>
      </c>
      <c r="R57" t="str" s="13" cm="1">
        <f t="array" ref="R57">D57</f>
        <v>piece</v>
      </c>
      <c r="S57" s="17" cm="1">
        <f t="array" ref="S57">Q57/(260/P57)</f>
        <v>45.5384615384615</v>
      </c>
    </row>
    <row r="58" ht="13.55" customHeight="1">
      <c r="A58" t="s" s="12">
        <v>400</v>
      </c>
      <c r="B58" t="s" s="12">
        <v>401</v>
      </c>
      <c r="C58" t="s" s="12">
        <v>402</v>
      </c>
      <c r="D58" t="s" s="12">
        <v>21</v>
      </c>
      <c r="E58" t="s" s="12">
        <v>269</v>
      </c>
      <c r="F58" s="13"/>
      <c r="G58" t="s" s="12">
        <v>403</v>
      </c>
      <c r="H58" t="s" s="14">
        <v>398</v>
      </c>
      <c r="I58" s="13"/>
      <c r="J58" t="s" s="12">
        <v>351</v>
      </c>
      <c r="K58" t="s" s="12">
        <v>344</v>
      </c>
      <c r="L58" s="13"/>
      <c r="M58" s="13"/>
      <c r="N58" t="s" s="14">
        <v>294</v>
      </c>
      <c r="O58" t="s" s="14">
        <v>295</v>
      </c>
      <c r="P58" s="15">
        <v>40</v>
      </c>
      <c r="Q58" s="16">
        <v>386</v>
      </c>
      <c r="R58" t="str" s="13" cm="1">
        <f t="array" ref="R58">D58</f>
        <v>piece</v>
      </c>
      <c r="S58" s="17" cm="1">
        <f t="array" ref="S58">Q58/(260/P58)</f>
        <v>59.3846153846154</v>
      </c>
    </row>
    <row r="59" ht="45" customHeight="1">
      <c r="A59" t="s" s="12">
        <v>404</v>
      </c>
      <c r="B59" t="s" s="12">
        <v>267</v>
      </c>
      <c r="C59" t="s" s="12">
        <v>268</v>
      </c>
      <c r="D59" t="s" s="12">
        <v>21</v>
      </c>
      <c r="E59" t="s" s="12">
        <v>269</v>
      </c>
      <c r="F59" s="13"/>
      <c r="G59" t="s" s="12">
        <v>270</v>
      </c>
      <c r="H59" t="s" s="14">
        <v>271</v>
      </c>
      <c r="I59" s="13"/>
      <c r="J59" t="s" s="11">
        <v>272</v>
      </c>
      <c r="K59" t="s" s="12">
        <v>405</v>
      </c>
      <c r="L59" s="13"/>
      <c r="M59" s="13"/>
      <c r="N59" t="s" s="14">
        <v>56</v>
      </c>
      <c r="O59" t="s" s="12">
        <v>57</v>
      </c>
      <c r="P59" s="15">
        <v>40</v>
      </c>
      <c r="Q59" s="16">
        <v>3540</v>
      </c>
      <c r="R59" t="str" s="13" cm="1">
        <f t="array" ref="R59">D59</f>
        <v>piece</v>
      </c>
      <c r="S59" s="17" cm="1">
        <f t="array" ref="S59">Q59/(260/P59)</f>
        <v>544.615384615385</v>
      </c>
    </row>
    <row r="60" ht="13.55" customHeight="1">
      <c r="A60" t="s" s="12">
        <v>406</v>
      </c>
      <c r="B60" t="s" s="12">
        <v>407</v>
      </c>
      <c r="C60" t="s" s="12">
        <v>408</v>
      </c>
      <c r="D60" t="s" s="12">
        <v>21</v>
      </c>
      <c r="E60" t="s" s="12">
        <v>51</v>
      </c>
      <c r="F60" s="13"/>
      <c r="G60" t="s" s="12">
        <v>409</v>
      </c>
      <c r="H60" t="s" s="14">
        <v>410</v>
      </c>
      <c r="I60" s="13"/>
      <c r="J60" t="s" s="12">
        <v>45</v>
      </c>
      <c r="K60" t="s" s="12">
        <v>411</v>
      </c>
      <c r="L60" s="13"/>
      <c r="M60" s="13"/>
      <c r="N60" t="s" s="14">
        <v>345</v>
      </c>
      <c r="O60" t="s" s="14">
        <v>346</v>
      </c>
      <c r="P60" s="15">
        <v>40</v>
      </c>
      <c r="Q60" s="16">
        <v>2</v>
      </c>
      <c r="R60" t="str" s="13" cm="1">
        <f t="array" ref="R60">D60</f>
        <v>piece</v>
      </c>
      <c r="S60" s="17" cm="1">
        <f t="array" ref="S60">Q60/(260/P60)</f>
        <v>0.307692307692308</v>
      </c>
    </row>
    <row r="61" ht="13.55" customHeight="1">
      <c r="A61" t="s" s="12">
        <v>412</v>
      </c>
      <c r="B61" t="s" s="12">
        <v>413</v>
      </c>
      <c r="C61" t="s" s="12">
        <v>414</v>
      </c>
      <c r="D61" t="s" s="12">
        <v>21</v>
      </c>
      <c r="E61" t="s" s="12">
        <v>269</v>
      </c>
      <c r="F61" s="13"/>
      <c r="G61" t="s" s="12">
        <v>415</v>
      </c>
      <c r="H61" t="s" s="14">
        <v>362</v>
      </c>
      <c r="I61" s="13"/>
      <c r="J61" t="s" s="12">
        <v>416</v>
      </c>
      <c r="K61" t="s" s="12">
        <v>417</v>
      </c>
      <c r="L61" s="13"/>
      <c r="M61" s="13"/>
      <c r="N61" s="16">
        <v>999</v>
      </c>
      <c r="O61" t="s" s="14">
        <v>202</v>
      </c>
      <c r="P61" s="15">
        <v>70</v>
      </c>
      <c r="Q61" s="16">
        <v>25500</v>
      </c>
      <c r="R61" t="str" s="13" cm="1">
        <f t="array" ref="R61">D61</f>
        <v>piece</v>
      </c>
      <c r="S61" s="17" cm="1">
        <f t="array" ref="S61">Q61/(260/P61)</f>
        <v>6865.384615384620</v>
      </c>
    </row>
    <row r="62" ht="75" customHeight="1">
      <c r="A62" t="s" s="12">
        <v>418</v>
      </c>
      <c r="B62" t="s" s="12">
        <v>419</v>
      </c>
      <c r="C62" t="s" s="12">
        <v>419</v>
      </c>
      <c r="D62" t="s" s="12">
        <v>21</v>
      </c>
      <c r="E62" t="s" s="12">
        <v>22</v>
      </c>
      <c r="F62" s="13"/>
      <c r="G62" t="s" s="12">
        <v>420</v>
      </c>
      <c r="H62" t="s" s="14">
        <v>421</v>
      </c>
      <c r="I62" s="13"/>
      <c r="J62" t="s" s="11">
        <v>422</v>
      </c>
      <c r="K62" t="s" s="12">
        <v>423</v>
      </c>
      <c r="L62" s="13"/>
      <c r="M62" s="13"/>
      <c r="N62" t="s" s="14">
        <v>154</v>
      </c>
      <c r="O62" t="s" s="14">
        <v>155</v>
      </c>
      <c r="P62" s="15">
        <v>50</v>
      </c>
      <c r="Q62" s="16">
        <v>41</v>
      </c>
      <c r="R62" t="str" s="13" cm="1">
        <f t="array" ref="R62">D62</f>
        <v>piece</v>
      </c>
      <c r="S62" s="17" cm="1">
        <f t="array" ref="S62">Q62/(260/P62)</f>
        <v>7.88461538461538</v>
      </c>
    </row>
    <row r="63" ht="90" customHeight="1">
      <c r="A63" t="s" s="12">
        <v>424</v>
      </c>
      <c r="B63" t="s" s="12">
        <v>425</v>
      </c>
      <c r="C63" t="s" s="12">
        <v>426</v>
      </c>
      <c r="D63" t="s" s="12">
        <v>21</v>
      </c>
      <c r="E63" t="s" s="12">
        <v>22</v>
      </c>
      <c r="F63" s="13"/>
      <c r="G63" t="s" s="12">
        <v>427</v>
      </c>
      <c r="H63" t="s" s="14">
        <v>428</v>
      </c>
      <c r="I63" t="s" s="21">
        <v>429</v>
      </c>
      <c r="J63" t="s" s="11">
        <v>430</v>
      </c>
      <c r="K63" s="13"/>
      <c r="L63" s="13"/>
      <c r="M63" s="13"/>
      <c r="N63" t="s" s="14">
        <v>154</v>
      </c>
      <c r="O63" t="s" s="14">
        <v>155</v>
      </c>
      <c r="P63" s="15">
        <v>45</v>
      </c>
      <c r="Q63" s="16">
        <v>20</v>
      </c>
      <c r="R63" t="str" s="13" cm="1">
        <f t="array" ref="R63">D63</f>
        <v>piece</v>
      </c>
      <c r="S63" s="17" cm="1">
        <f t="array" ref="S63">Q63/(260/P63)</f>
        <v>3.46153846153846</v>
      </c>
    </row>
    <row r="64" ht="135" customHeight="1">
      <c r="A64" t="s" s="12">
        <v>431</v>
      </c>
      <c r="B64" t="s" s="12">
        <v>432</v>
      </c>
      <c r="C64" t="s" s="12">
        <v>433</v>
      </c>
      <c r="D64" t="s" s="12">
        <v>21</v>
      </c>
      <c r="E64" t="s" s="12">
        <v>22</v>
      </c>
      <c r="F64" s="13"/>
      <c r="G64" t="s" s="12">
        <v>434</v>
      </c>
      <c r="H64" t="s" s="14">
        <v>435</v>
      </c>
      <c r="I64" t="s" s="21">
        <v>436</v>
      </c>
      <c r="J64" t="s" s="11">
        <v>437</v>
      </c>
      <c r="K64" s="13"/>
      <c r="L64" s="13"/>
      <c r="M64" s="13"/>
      <c r="N64" s="16">
        <v>999</v>
      </c>
      <c r="O64" t="s" s="14">
        <v>202</v>
      </c>
      <c r="P64" s="15">
        <v>100</v>
      </c>
      <c r="Q64" s="16">
        <v>42</v>
      </c>
      <c r="R64" t="str" s="13" cm="1">
        <f t="array" ref="R64">D64</f>
        <v>piece</v>
      </c>
      <c r="S64" s="17" cm="1">
        <f t="array" ref="S64">Q64/(260/P64)</f>
        <v>16.1538461538462</v>
      </c>
    </row>
    <row r="65" ht="195" customHeight="1">
      <c r="A65" t="s" s="12">
        <v>438</v>
      </c>
      <c r="B65" t="s" s="12">
        <v>439</v>
      </c>
      <c r="C65" t="s" s="12">
        <v>440</v>
      </c>
      <c r="D65" t="s" s="12">
        <v>21</v>
      </c>
      <c r="E65" t="s" s="12">
        <v>22</v>
      </c>
      <c r="F65" s="13"/>
      <c r="G65" t="s" s="12">
        <v>441</v>
      </c>
      <c r="H65" t="s" s="14">
        <v>442</v>
      </c>
      <c r="I65" t="s" s="21">
        <v>436</v>
      </c>
      <c r="J65" t="s" s="11">
        <v>443</v>
      </c>
      <c r="K65" s="13"/>
      <c r="L65" s="13"/>
      <c r="M65" s="13"/>
      <c r="N65" t="s" s="14">
        <v>215</v>
      </c>
      <c r="O65" t="s" s="14">
        <v>216</v>
      </c>
      <c r="P65" s="15">
        <v>45</v>
      </c>
      <c r="Q65" s="16">
        <v>32</v>
      </c>
      <c r="R65" t="str" s="13" cm="1">
        <f t="array" ref="R65">D65</f>
        <v>piece</v>
      </c>
      <c r="S65" s="17" cm="1">
        <f t="array" ref="S65">Q65/(260/P65)</f>
        <v>5.53846153846154</v>
      </c>
    </row>
    <row r="66" ht="195" customHeight="1">
      <c r="A66" t="s" s="12">
        <v>444</v>
      </c>
      <c r="B66" t="s" s="12">
        <v>445</v>
      </c>
      <c r="C66" t="s" s="12">
        <v>446</v>
      </c>
      <c r="D66" t="s" s="12">
        <v>21</v>
      </c>
      <c r="E66" t="s" s="12">
        <v>22</v>
      </c>
      <c r="F66" s="13"/>
      <c r="G66" t="s" s="12">
        <v>447</v>
      </c>
      <c r="H66" t="s" s="14">
        <v>448</v>
      </c>
      <c r="I66" t="s" s="21">
        <v>449</v>
      </c>
      <c r="J66" t="s" s="11">
        <v>450</v>
      </c>
      <c r="K66" s="13"/>
      <c r="L66" s="13"/>
      <c r="M66" s="13"/>
      <c r="N66" t="s" s="14">
        <v>215</v>
      </c>
      <c r="O66" t="s" s="14">
        <v>216</v>
      </c>
      <c r="P66" s="15">
        <v>35</v>
      </c>
      <c r="Q66" s="16">
        <v>59</v>
      </c>
      <c r="R66" t="str" s="13" cm="1">
        <f t="array" ref="R66">D66</f>
        <v>piece</v>
      </c>
      <c r="S66" s="17" cm="1">
        <f t="array" ref="S66">Q66/(260/P66)</f>
        <v>7.94230769230769</v>
      </c>
    </row>
    <row r="67" ht="30" customHeight="1">
      <c r="A67" t="s" s="12">
        <v>451</v>
      </c>
      <c r="B67" t="s" s="12">
        <v>452</v>
      </c>
      <c r="C67" t="s" s="12">
        <v>453</v>
      </c>
      <c r="D67" t="s" s="12">
        <v>21</v>
      </c>
      <c r="E67" t="s" s="12">
        <v>51</v>
      </c>
      <c r="F67" s="13"/>
      <c r="G67" t="s" s="12">
        <v>454</v>
      </c>
      <c r="H67" t="s" s="14">
        <v>455</v>
      </c>
      <c r="I67" s="13"/>
      <c r="J67" t="s" s="12">
        <v>456</v>
      </c>
      <c r="K67" t="s" s="12">
        <v>457</v>
      </c>
      <c r="L67" s="13"/>
      <c r="M67" t="s" s="11">
        <v>458</v>
      </c>
      <c r="N67" t="s" s="14">
        <v>169</v>
      </c>
      <c r="O67" t="s" s="14">
        <v>170</v>
      </c>
      <c r="P67" s="15">
        <v>40</v>
      </c>
      <c r="Q67" s="16">
        <v>6798.44</v>
      </c>
      <c r="R67" t="str" s="13" cm="1">
        <f t="array" ref="R67">D67</f>
        <v>piece</v>
      </c>
      <c r="S67" s="17" cm="1">
        <f t="array" ref="S67">Q67/(260/P67)</f>
        <v>1045.913846153850</v>
      </c>
    </row>
    <row r="68" ht="30" customHeight="1">
      <c r="A68" t="s" s="12">
        <v>459</v>
      </c>
      <c r="B68" t="s" s="12">
        <v>460</v>
      </c>
      <c r="C68" t="s" s="12">
        <v>461</v>
      </c>
      <c r="D68" t="s" s="12">
        <v>21</v>
      </c>
      <c r="E68" t="s" s="12">
        <v>51</v>
      </c>
      <c r="F68" s="13"/>
      <c r="G68" t="s" s="12">
        <v>462</v>
      </c>
      <c r="H68" t="s" s="14">
        <v>463</v>
      </c>
      <c r="I68" s="13"/>
      <c r="J68" t="s" s="12">
        <v>464</v>
      </c>
      <c r="K68" t="s" s="12">
        <v>465</v>
      </c>
      <c r="L68" s="13"/>
      <c r="M68" t="s" s="11">
        <v>466</v>
      </c>
      <c r="N68" t="s" s="14">
        <v>169</v>
      </c>
      <c r="O68" t="s" s="14">
        <v>170</v>
      </c>
      <c r="P68" s="15">
        <v>50</v>
      </c>
      <c r="Q68" s="16">
        <v>17101.9</v>
      </c>
      <c r="R68" t="str" s="13" cm="1">
        <f t="array" ref="R68">D68</f>
        <v>piece</v>
      </c>
      <c r="S68" s="17" cm="1">
        <f t="array" ref="S68">Q68/(260/P68)</f>
        <v>3288.826923076920</v>
      </c>
    </row>
    <row r="69" ht="30" customHeight="1">
      <c r="A69" t="s" s="12">
        <v>467</v>
      </c>
      <c r="B69" t="s" s="12">
        <v>468</v>
      </c>
      <c r="C69" t="s" s="12">
        <v>469</v>
      </c>
      <c r="D69" t="s" s="12">
        <v>21</v>
      </c>
      <c r="E69" t="s" s="12">
        <v>51</v>
      </c>
      <c r="F69" s="13"/>
      <c r="G69" t="s" s="12">
        <v>470</v>
      </c>
      <c r="H69" t="s" s="14">
        <v>86</v>
      </c>
      <c r="I69" s="13"/>
      <c r="J69" t="s" s="11">
        <v>471</v>
      </c>
      <c r="K69" t="s" s="12">
        <v>472</v>
      </c>
      <c r="L69" s="13"/>
      <c r="M69" s="13"/>
      <c r="N69" t="s" s="14">
        <v>56</v>
      </c>
      <c r="O69" t="s" s="12">
        <v>57</v>
      </c>
      <c r="P69" s="15">
        <v>30</v>
      </c>
      <c r="Q69" s="16">
        <v>2826</v>
      </c>
      <c r="R69" t="str" s="13" cm="1">
        <f t="array" ref="R69">D69</f>
        <v>piece</v>
      </c>
      <c r="S69" s="17" cm="1">
        <f t="array" ref="S69">Q69/(260/P69)</f>
        <v>326.076923076923</v>
      </c>
    </row>
    <row r="70" ht="75" customHeight="1">
      <c r="A70" t="s" s="12">
        <v>473</v>
      </c>
      <c r="B70" t="s" s="12">
        <v>474</v>
      </c>
      <c r="C70" t="s" s="12">
        <v>475</v>
      </c>
      <c r="D70" t="s" s="12">
        <v>21</v>
      </c>
      <c r="E70" t="s" s="12">
        <v>51</v>
      </c>
      <c r="F70" s="13"/>
      <c r="G70" t="s" s="12">
        <v>476</v>
      </c>
      <c r="H70" t="s" s="14">
        <v>477</v>
      </c>
      <c r="I70" s="13"/>
      <c r="J70" t="s" s="11">
        <v>478</v>
      </c>
      <c r="K70" s="13"/>
      <c r="L70" s="13"/>
      <c r="M70" s="13"/>
      <c r="N70" t="s" s="14">
        <v>56</v>
      </c>
      <c r="O70" t="s" s="12">
        <v>57</v>
      </c>
      <c r="P70" s="15">
        <v>40</v>
      </c>
      <c r="Q70" s="16">
        <v>3755</v>
      </c>
      <c r="R70" t="str" s="13" cm="1">
        <f t="array" ref="R70">D70</f>
        <v>piece</v>
      </c>
      <c r="S70" s="17" cm="1">
        <f t="array" ref="S70">Q70/(260/P70)</f>
        <v>577.692307692308</v>
      </c>
    </row>
    <row r="71" ht="30" customHeight="1">
      <c r="A71" t="s" s="12">
        <v>479</v>
      </c>
      <c r="B71" t="s" s="12">
        <v>480</v>
      </c>
      <c r="C71" t="s" s="12">
        <v>481</v>
      </c>
      <c r="D71" t="s" s="12">
        <v>21</v>
      </c>
      <c r="E71" t="s" s="12">
        <v>51</v>
      </c>
      <c r="F71" s="13"/>
      <c r="G71" t="s" s="12">
        <v>482</v>
      </c>
      <c r="H71" t="s" s="14">
        <v>483</v>
      </c>
      <c r="I71" s="13"/>
      <c r="J71" t="s" s="11">
        <v>484</v>
      </c>
      <c r="K71" s="13"/>
      <c r="L71" s="13"/>
      <c r="M71" s="13"/>
      <c r="N71" t="s" s="14">
        <v>56</v>
      </c>
      <c r="O71" t="s" s="12">
        <v>57</v>
      </c>
      <c r="P71" s="15">
        <v>50</v>
      </c>
      <c r="Q71" s="16">
        <v>704</v>
      </c>
      <c r="R71" t="str" s="13" cm="1">
        <f t="array" ref="R71">D71</f>
        <v>piece</v>
      </c>
      <c r="S71" s="17" cm="1">
        <f t="array" ref="S71">Q71/(260/P71)</f>
        <v>135.384615384615</v>
      </c>
    </row>
    <row r="72" ht="60" customHeight="1">
      <c r="A72" t="s" s="12">
        <v>485</v>
      </c>
      <c r="B72" t="s" s="12">
        <v>486</v>
      </c>
      <c r="C72" t="s" s="12">
        <v>487</v>
      </c>
      <c r="D72" t="s" s="12">
        <v>21</v>
      </c>
      <c r="E72" t="s" s="12">
        <v>51</v>
      </c>
      <c r="F72" s="13"/>
      <c r="G72" t="s" s="12">
        <v>488</v>
      </c>
      <c r="H72" t="s" s="14">
        <v>489</v>
      </c>
      <c r="I72" s="13"/>
      <c r="J72" t="s" s="11">
        <v>490</v>
      </c>
      <c r="K72" t="s" s="12">
        <v>491</v>
      </c>
      <c r="L72" s="13"/>
      <c r="M72" s="13"/>
      <c r="N72" t="s" s="14">
        <v>215</v>
      </c>
      <c r="O72" t="s" s="14">
        <v>216</v>
      </c>
      <c r="P72" s="15">
        <v>40</v>
      </c>
      <c r="Q72" s="16">
        <v>3468</v>
      </c>
      <c r="R72" t="str" s="13" cm="1">
        <f t="array" ref="R72">D72</f>
        <v>piece</v>
      </c>
      <c r="S72" s="17" cm="1">
        <f t="array" ref="S72">Q72/(260/P72)</f>
        <v>533.538461538462</v>
      </c>
    </row>
    <row r="73" ht="30" customHeight="1">
      <c r="A73" t="s" s="12">
        <v>492</v>
      </c>
      <c r="B73" t="s" s="12">
        <v>493</v>
      </c>
      <c r="C73" t="s" s="12">
        <v>494</v>
      </c>
      <c r="D73" t="s" s="12">
        <v>21</v>
      </c>
      <c r="E73" t="s" s="12">
        <v>51</v>
      </c>
      <c r="F73" s="13"/>
      <c r="G73" t="s" s="12">
        <v>495</v>
      </c>
      <c r="H73" t="s" s="14">
        <v>496</v>
      </c>
      <c r="I73" s="13"/>
      <c r="J73" t="s" s="11">
        <v>497</v>
      </c>
      <c r="K73" t="s" s="12">
        <v>498</v>
      </c>
      <c r="L73" s="13"/>
      <c r="M73" s="13"/>
      <c r="N73" t="s" s="14">
        <v>215</v>
      </c>
      <c r="O73" t="s" s="14">
        <v>216</v>
      </c>
      <c r="P73" s="15">
        <v>50</v>
      </c>
      <c r="Q73" s="16">
        <v>11498</v>
      </c>
      <c r="R73" t="str" s="13" cm="1">
        <f t="array" ref="R73">D73</f>
        <v>piece</v>
      </c>
      <c r="S73" s="17" cm="1">
        <f t="array" ref="S73">Q73/(260/P73)</f>
        <v>2211.153846153850</v>
      </c>
    </row>
    <row r="74" ht="60" customHeight="1">
      <c r="A74" t="s" s="22">
        <v>499</v>
      </c>
      <c r="B74" t="s" s="22">
        <v>500</v>
      </c>
      <c r="C74" t="s" s="22">
        <v>501</v>
      </c>
      <c r="D74" t="s" s="22">
        <v>21</v>
      </c>
      <c r="E74" t="s" s="22">
        <v>51</v>
      </c>
      <c r="F74" s="13"/>
      <c r="G74" t="s" s="22">
        <v>502</v>
      </c>
      <c r="H74" t="s" s="23">
        <v>503</v>
      </c>
      <c r="I74" s="13"/>
      <c r="J74" t="s" s="24">
        <v>504</v>
      </c>
      <c r="K74" t="s" s="22">
        <v>505</v>
      </c>
      <c r="L74" s="13"/>
      <c r="M74" s="25"/>
      <c r="N74" t="s" s="14">
        <v>215</v>
      </c>
      <c r="O74" t="s" s="14">
        <v>216</v>
      </c>
      <c r="P74" s="15">
        <v>40</v>
      </c>
      <c r="Q74" s="16">
        <v>1690</v>
      </c>
      <c r="R74" t="str" s="13" cm="1">
        <f t="array" ref="R74">D74</f>
        <v>piece</v>
      </c>
      <c r="S74" s="17" cm="1">
        <f t="array" ref="S74">Q74/(260/P74)</f>
        <v>260</v>
      </c>
    </row>
    <row r="75" ht="45" customHeight="1">
      <c r="A75" t="s" s="26">
        <v>506</v>
      </c>
      <c r="B75" t="s" s="27">
        <v>507</v>
      </c>
      <c r="C75" t="s" s="27">
        <v>508</v>
      </c>
      <c r="D75" t="s" s="27">
        <v>21</v>
      </c>
      <c r="E75" t="s" s="27">
        <v>269</v>
      </c>
      <c r="F75" s="28"/>
      <c r="G75" t="s" s="27">
        <v>509</v>
      </c>
      <c r="H75" t="s" s="29">
        <v>510</v>
      </c>
      <c r="I75" s="28"/>
      <c r="J75" t="s" s="30">
        <v>511</v>
      </c>
      <c r="K75" t="s" s="27">
        <v>512</v>
      </c>
      <c r="L75" s="28"/>
      <c r="M75" t="s" s="30">
        <v>513</v>
      </c>
      <c r="N75" t="s" s="31">
        <v>215</v>
      </c>
      <c r="O75" t="s" s="14">
        <v>216</v>
      </c>
      <c r="P75" s="15">
        <v>40</v>
      </c>
      <c r="Q75" s="16">
        <v>1886</v>
      </c>
      <c r="R75" t="str" s="13" cm="1">
        <f t="array" ref="R75">D75</f>
        <v>piece</v>
      </c>
      <c r="S75" s="17" cm="1">
        <f t="array" ref="S75">Q75/(260/P75)</f>
        <v>290.153846153846</v>
      </c>
    </row>
    <row r="76" ht="45" customHeight="1">
      <c r="A76" t="s" s="32">
        <v>514</v>
      </c>
      <c r="B76" t="s" s="32">
        <v>515</v>
      </c>
      <c r="C76" t="s" s="32">
        <v>516</v>
      </c>
      <c r="D76" t="s" s="32">
        <v>21</v>
      </c>
      <c r="E76" t="s" s="32">
        <v>51</v>
      </c>
      <c r="F76" s="13"/>
      <c r="G76" t="s" s="32">
        <v>517</v>
      </c>
      <c r="H76" t="s" s="33">
        <v>518</v>
      </c>
      <c r="I76" s="13"/>
      <c r="J76" t="s" s="34">
        <v>519</v>
      </c>
      <c r="K76" s="35"/>
      <c r="L76" s="13"/>
      <c r="M76" s="35"/>
      <c r="N76" t="s" s="14">
        <v>215</v>
      </c>
      <c r="O76" t="s" s="14">
        <v>216</v>
      </c>
      <c r="P76" s="15">
        <v>40</v>
      </c>
      <c r="Q76" s="16">
        <v>2215</v>
      </c>
      <c r="R76" t="str" s="13" cm="1">
        <f t="array" ref="R76">D76</f>
        <v>piece</v>
      </c>
      <c r="S76" s="17" cm="1">
        <f t="array" ref="S76">Q76/(260/P76)</f>
        <v>340.769230769231</v>
      </c>
    </row>
    <row r="77" ht="30" customHeight="1">
      <c r="A77" t="s" s="12">
        <v>520</v>
      </c>
      <c r="B77" t="s" s="12">
        <v>521</v>
      </c>
      <c r="C77" t="s" s="12">
        <v>522</v>
      </c>
      <c r="D77" t="s" s="12">
        <v>21</v>
      </c>
      <c r="E77" t="s" s="12">
        <v>51</v>
      </c>
      <c r="F77" s="13"/>
      <c r="G77" t="s" s="12">
        <v>523</v>
      </c>
      <c r="H77" t="s" s="14">
        <v>362</v>
      </c>
      <c r="I77" s="13"/>
      <c r="J77" t="s" s="11">
        <v>524</v>
      </c>
      <c r="K77" s="13"/>
      <c r="L77" s="13"/>
      <c r="M77" s="13"/>
      <c r="N77" t="s" s="14">
        <v>56</v>
      </c>
      <c r="O77" t="s" s="12">
        <v>57</v>
      </c>
      <c r="P77" s="15">
        <v>50</v>
      </c>
      <c r="Q77" s="16">
        <v>11434</v>
      </c>
      <c r="R77" t="str" s="13" cm="1">
        <f t="array" ref="R77">D77</f>
        <v>piece</v>
      </c>
      <c r="S77" s="17" cm="1">
        <f t="array" ref="S77">Q77/(260/P77)</f>
        <v>2198.846153846150</v>
      </c>
    </row>
    <row r="78" ht="75" customHeight="1">
      <c r="A78" t="s" s="12">
        <v>525</v>
      </c>
      <c r="B78" t="s" s="12">
        <v>526</v>
      </c>
      <c r="C78" t="s" s="12">
        <v>527</v>
      </c>
      <c r="D78" t="s" s="12">
        <v>21</v>
      </c>
      <c r="E78" t="s" s="12">
        <v>51</v>
      </c>
      <c r="F78" s="13"/>
      <c r="G78" t="s" s="12">
        <v>528</v>
      </c>
      <c r="H78" t="s" s="14">
        <v>529</v>
      </c>
      <c r="I78" s="13"/>
      <c r="J78" t="s" s="11">
        <v>530</v>
      </c>
      <c r="K78" s="13"/>
      <c r="L78" s="13"/>
      <c r="M78" s="13"/>
      <c r="N78" t="s" s="14">
        <v>215</v>
      </c>
      <c r="O78" t="s" s="14">
        <v>216</v>
      </c>
      <c r="P78" s="15">
        <v>40</v>
      </c>
      <c r="Q78" s="16">
        <v>17632</v>
      </c>
      <c r="R78" t="str" s="13" cm="1">
        <f t="array" ref="R78">D78</f>
        <v>piece</v>
      </c>
      <c r="S78" s="17" cm="1">
        <f t="array" ref="S78">Q78/(260/P78)</f>
        <v>2712.615384615380</v>
      </c>
    </row>
    <row r="79" ht="105" customHeight="1">
      <c r="A79" t="s" s="12">
        <v>531</v>
      </c>
      <c r="B79" t="s" s="12">
        <v>532</v>
      </c>
      <c r="C79" t="s" s="12">
        <v>533</v>
      </c>
      <c r="D79" t="s" s="12">
        <v>21</v>
      </c>
      <c r="E79" t="s" s="12">
        <v>51</v>
      </c>
      <c r="F79" s="13"/>
      <c r="G79" t="s" s="12">
        <v>534</v>
      </c>
      <c r="H79" t="s" s="14">
        <v>535</v>
      </c>
      <c r="I79" s="13"/>
      <c r="J79" t="s" s="11">
        <v>536</v>
      </c>
      <c r="K79" t="s" s="12">
        <v>537</v>
      </c>
      <c r="L79" s="13"/>
      <c r="M79" s="13"/>
      <c r="N79" t="s" s="14">
        <v>215</v>
      </c>
      <c r="O79" t="s" s="14">
        <v>216</v>
      </c>
      <c r="P79" s="15">
        <v>50</v>
      </c>
      <c r="Q79" s="16">
        <v>16311</v>
      </c>
      <c r="R79" t="str" s="13" cm="1">
        <f t="array" ref="R79">D79</f>
        <v>piece</v>
      </c>
      <c r="S79" s="17" cm="1">
        <f t="array" ref="S79">Q79/(260/P79)</f>
        <v>3136.730769230770</v>
      </c>
    </row>
    <row r="80" ht="90" customHeight="1">
      <c r="A80" t="s" s="12">
        <v>538</v>
      </c>
      <c r="B80" t="s" s="12">
        <v>539</v>
      </c>
      <c r="C80" t="s" s="12">
        <v>540</v>
      </c>
      <c r="D80" t="s" s="12">
        <v>21</v>
      </c>
      <c r="E80" t="s" s="12">
        <v>51</v>
      </c>
      <c r="F80" s="13"/>
      <c r="G80" t="s" s="12">
        <v>541</v>
      </c>
      <c r="H80" t="s" s="14">
        <v>188</v>
      </c>
      <c r="I80" s="13"/>
      <c r="J80" t="s" s="11">
        <v>542</v>
      </c>
      <c r="K80" t="s" s="12">
        <v>543</v>
      </c>
      <c r="L80" s="13"/>
      <c r="M80" s="13"/>
      <c r="N80" t="s" s="14">
        <v>215</v>
      </c>
      <c r="O80" t="s" s="14">
        <v>216</v>
      </c>
      <c r="P80" s="15">
        <v>50</v>
      </c>
      <c r="Q80" s="16">
        <v>10942</v>
      </c>
      <c r="R80" t="str" s="13" cm="1">
        <f t="array" ref="R80">D80</f>
        <v>piece</v>
      </c>
      <c r="S80" s="17" cm="1">
        <f t="array" ref="S80">Q80/(260/P80)</f>
        <v>2104.230769230770</v>
      </c>
    </row>
    <row r="81" ht="60" customHeight="1">
      <c r="A81" t="s" s="12">
        <v>544</v>
      </c>
      <c r="B81" t="s" s="12">
        <v>545</v>
      </c>
      <c r="C81" t="s" s="12">
        <v>546</v>
      </c>
      <c r="D81" t="s" s="12">
        <v>21</v>
      </c>
      <c r="E81" t="s" s="12">
        <v>51</v>
      </c>
      <c r="F81" s="13"/>
      <c r="G81" t="s" s="12">
        <v>547</v>
      </c>
      <c r="H81" t="s" s="14">
        <v>529</v>
      </c>
      <c r="I81" s="13"/>
      <c r="J81" t="s" s="11">
        <v>548</v>
      </c>
      <c r="K81" s="13"/>
      <c r="L81" s="13"/>
      <c r="M81" s="13"/>
      <c r="N81" t="s" s="14">
        <v>56</v>
      </c>
      <c r="O81" t="s" s="12">
        <v>57</v>
      </c>
      <c r="P81" s="15">
        <v>50</v>
      </c>
      <c r="Q81" s="16">
        <v>119116</v>
      </c>
      <c r="R81" t="str" s="13" cm="1">
        <f t="array" ref="R81">D81</f>
        <v>piece</v>
      </c>
      <c r="S81" s="17" cm="1">
        <f t="array" ref="S81">Q81/(260/P81)</f>
        <v>22906.9230769231</v>
      </c>
    </row>
    <row r="82" ht="13.55" customHeight="1">
      <c r="A82" t="s" s="12">
        <v>549</v>
      </c>
      <c r="B82" t="s" s="12">
        <v>550</v>
      </c>
      <c r="C82" t="s" s="12">
        <v>551</v>
      </c>
      <c r="D82" t="s" s="12">
        <v>21</v>
      </c>
      <c r="E82" t="s" s="12">
        <v>51</v>
      </c>
      <c r="F82" s="13"/>
      <c r="G82" t="s" s="12">
        <v>552</v>
      </c>
      <c r="H82" t="s" s="14">
        <v>553</v>
      </c>
      <c r="I82" s="13"/>
      <c r="J82" s="13"/>
      <c r="K82" s="13"/>
      <c r="L82" s="13"/>
      <c r="M82" s="13"/>
      <c r="N82" t="s" s="14">
        <v>215</v>
      </c>
      <c r="O82" t="s" s="14">
        <v>216</v>
      </c>
      <c r="P82" s="15">
        <v>40</v>
      </c>
      <c r="Q82" s="16">
        <v>1355</v>
      </c>
      <c r="R82" t="str" s="13" cm="1">
        <f t="array" ref="R82">D82</f>
        <v>piece</v>
      </c>
      <c r="S82" s="17" cm="1">
        <f t="array" ref="S82">Q82/(260/P82)</f>
        <v>208.461538461538</v>
      </c>
    </row>
    <row r="83" ht="30" customHeight="1">
      <c r="A83" t="s" s="12">
        <v>554</v>
      </c>
      <c r="B83" t="s" s="12">
        <v>555</v>
      </c>
      <c r="C83" t="s" s="12">
        <v>556</v>
      </c>
      <c r="D83" t="s" s="12">
        <v>21</v>
      </c>
      <c r="E83" t="s" s="12">
        <v>51</v>
      </c>
      <c r="F83" s="13"/>
      <c r="G83" t="s" s="12">
        <v>557</v>
      </c>
      <c r="H83" t="s" s="14">
        <v>53</v>
      </c>
      <c r="I83" s="13"/>
      <c r="J83" t="s" s="11">
        <v>558</v>
      </c>
      <c r="K83" t="s" s="12">
        <v>559</v>
      </c>
      <c r="L83" s="13"/>
      <c r="M83" s="13"/>
      <c r="N83" t="s" s="14">
        <v>215</v>
      </c>
      <c r="O83" t="s" s="14">
        <v>216</v>
      </c>
      <c r="P83" s="15">
        <v>40</v>
      </c>
      <c r="Q83" s="16">
        <v>15976</v>
      </c>
      <c r="R83" t="str" s="13" cm="1">
        <f t="array" ref="R83">D83</f>
        <v>piece</v>
      </c>
      <c r="S83" s="17" cm="1">
        <f t="array" ref="S83">Q83/(260/P83)</f>
        <v>2457.846153846150</v>
      </c>
    </row>
    <row r="84" ht="30" customHeight="1">
      <c r="A84" t="s" s="12">
        <v>560</v>
      </c>
      <c r="B84" t="s" s="12">
        <v>561</v>
      </c>
      <c r="C84" t="s" s="12">
        <v>562</v>
      </c>
      <c r="D84" t="s" s="12">
        <v>21</v>
      </c>
      <c r="E84" t="s" s="12">
        <v>51</v>
      </c>
      <c r="F84" s="13"/>
      <c r="G84" t="s" s="12">
        <v>563</v>
      </c>
      <c r="H84" t="s" s="14">
        <v>564</v>
      </c>
      <c r="I84" s="13"/>
      <c r="J84" t="s" s="11">
        <v>565</v>
      </c>
      <c r="K84" t="s" s="12">
        <v>559</v>
      </c>
      <c r="L84" s="13"/>
      <c r="M84" s="13"/>
      <c r="N84" t="s" s="14">
        <v>215</v>
      </c>
      <c r="O84" t="s" s="14">
        <v>216</v>
      </c>
      <c r="P84" s="15">
        <v>40</v>
      </c>
      <c r="Q84" s="16">
        <v>2613</v>
      </c>
      <c r="R84" t="str" s="13" cm="1">
        <f t="array" ref="R84">D84</f>
        <v>piece</v>
      </c>
      <c r="S84" s="17" cm="1">
        <f t="array" ref="S84">Q84/(260/P84)</f>
        <v>402</v>
      </c>
    </row>
    <row r="85" ht="13.55" customHeight="1">
      <c r="A85" t="s" s="12">
        <v>566</v>
      </c>
      <c r="B85" t="s" s="12">
        <v>567</v>
      </c>
      <c r="C85" t="s" s="12">
        <v>568</v>
      </c>
      <c r="D85" t="s" s="12">
        <v>21</v>
      </c>
      <c r="E85" t="s" s="12">
        <v>51</v>
      </c>
      <c r="F85" s="13"/>
      <c r="G85" t="s" s="12">
        <v>569</v>
      </c>
      <c r="H85" t="s" s="14">
        <v>570</v>
      </c>
      <c r="I85" s="13"/>
      <c r="J85" t="s" s="11">
        <v>571</v>
      </c>
      <c r="K85" t="s" s="12">
        <v>572</v>
      </c>
      <c r="L85" s="13"/>
      <c r="M85" s="13"/>
      <c r="N85" t="s" s="14">
        <v>56</v>
      </c>
      <c r="O85" t="s" s="12">
        <v>57</v>
      </c>
      <c r="P85" s="15">
        <v>60</v>
      </c>
      <c r="Q85" s="16">
        <v>11721</v>
      </c>
      <c r="R85" t="str" s="13" cm="1">
        <f t="array" ref="R85">D85</f>
        <v>piece</v>
      </c>
      <c r="S85" s="17" cm="1">
        <f t="array" ref="S85">Q85/(260/P85)</f>
        <v>2704.846153846150</v>
      </c>
    </row>
    <row r="86" ht="60" customHeight="1">
      <c r="A86" t="s" s="12">
        <v>573</v>
      </c>
      <c r="B86" t="s" s="12">
        <v>574</v>
      </c>
      <c r="C86" t="s" s="12">
        <v>575</v>
      </c>
      <c r="D86" t="s" s="12">
        <v>21</v>
      </c>
      <c r="E86" t="s" s="12">
        <v>51</v>
      </c>
      <c r="F86" s="13"/>
      <c r="G86" t="s" s="12">
        <v>576</v>
      </c>
      <c r="H86" t="s" s="14">
        <v>577</v>
      </c>
      <c r="I86" s="13"/>
      <c r="J86" t="s" s="11">
        <v>578</v>
      </c>
      <c r="K86" s="13"/>
      <c r="L86" s="13"/>
      <c r="M86" s="13"/>
      <c r="N86" t="s" s="14">
        <v>56</v>
      </c>
      <c r="O86" t="s" s="12">
        <v>57</v>
      </c>
      <c r="P86" s="15">
        <v>80</v>
      </c>
      <c r="Q86" s="16">
        <v>2708</v>
      </c>
      <c r="R86" t="str" s="13" cm="1">
        <f t="array" ref="R86">D86</f>
        <v>piece</v>
      </c>
      <c r="S86" s="17" cm="1">
        <f t="array" ref="S86">Q86/(260/P86)</f>
        <v>833.2307692307691</v>
      </c>
    </row>
    <row r="87" ht="60" customHeight="1">
      <c r="A87" t="s" s="12">
        <v>579</v>
      </c>
      <c r="B87" t="s" s="12">
        <v>580</v>
      </c>
      <c r="C87" t="s" s="12">
        <v>581</v>
      </c>
      <c r="D87" t="s" s="12">
        <v>21</v>
      </c>
      <c r="E87" t="s" s="12">
        <v>51</v>
      </c>
      <c r="F87" s="13"/>
      <c r="G87" t="s" s="12">
        <v>582</v>
      </c>
      <c r="H87" t="s" s="14">
        <v>583</v>
      </c>
      <c r="I87" s="13"/>
      <c r="J87" t="s" s="11">
        <v>584</v>
      </c>
      <c r="K87" s="13"/>
      <c r="L87" s="13"/>
      <c r="M87" s="13"/>
      <c r="N87" t="s" s="14">
        <v>215</v>
      </c>
      <c r="O87" t="s" s="14">
        <v>216</v>
      </c>
      <c r="P87" s="15">
        <v>40</v>
      </c>
      <c r="Q87" s="16">
        <v>1651</v>
      </c>
      <c r="R87" t="str" s="13" cm="1">
        <f t="array" ref="R87">D87</f>
        <v>piece</v>
      </c>
      <c r="S87" s="17" cm="1">
        <f t="array" ref="S87">Q87/(260/P87)</f>
        <v>254</v>
      </c>
    </row>
    <row r="88" ht="13.55" customHeight="1">
      <c r="A88" t="s" s="12">
        <v>585</v>
      </c>
      <c r="B88" t="s" s="12">
        <v>586</v>
      </c>
      <c r="C88" t="s" s="12">
        <v>587</v>
      </c>
      <c r="D88" t="s" s="12">
        <v>21</v>
      </c>
      <c r="E88" t="s" s="12">
        <v>51</v>
      </c>
      <c r="F88" s="13"/>
      <c r="G88" t="s" s="12">
        <v>588</v>
      </c>
      <c r="H88" s="36">
        <v>0.097</v>
      </c>
      <c r="I88" s="13"/>
      <c r="J88" t="s" s="11">
        <v>45</v>
      </c>
      <c r="K88" t="s" s="12">
        <v>589</v>
      </c>
      <c r="L88" s="13"/>
      <c r="M88" s="13"/>
      <c r="N88" t="s" s="14">
        <v>590</v>
      </c>
      <c r="O88" t="s" s="14">
        <v>591</v>
      </c>
      <c r="P88" s="15">
        <v>40</v>
      </c>
      <c r="Q88" s="16">
        <v>2029</v>
      </c>
      <c r="R88" t="str" s="13" cm="1">
        <f t="array" ref="R88">D88</f>
        <v>piece</v>
      </c>
      <c r="S88" s="17" cm="1">
        <f t="array" ref="S88">Q88/(260/P88)</f>
        <v>312.153846153846</v>
      </c>
    </row>
    <row r="89" ht="13.55" customHeight="1">
      <c r="A89" t="s" s="12">
        <v>592</v>
      </c>
      <c r="B89" t="s" s="12">
        <v>593</v>
      </c>
      <c r="C89" t="s" s="12">
        <v>594</v>
      </c>
      <c r="D89" t="s" s="12">
        <v>21</v>
      </c>
      <c r="E89" t="s" s="12">
        <v>51</v>
      </c>
      <c r="F89" s="13"/>
      <c r="G89" t="s" s="12">
        <v>595</v>
      </c>
      <c r="H89" s="36">
        <v>0.155</v>
      </c>
      <c r="I89" s="13"/>
      <c r="J89" t="s" s="11">
        <v>45</v>
      </c>
      <c r="K89" t="s" s="12">
        <v>596</v>
      </c>
      <c r="L89" s="13"/>
      <c r="M89" s="13"/>
      <c r="N89" t="s" s="14">
        <v>215</v>
      </c>
      <c r="O89" t="s" s="14">
        <v>216</v>
      </c>
      <c r="P89" s="15">
        <v>40</v>
      </c>
      <c r="Q89" s="16">
        <v>1453</v>
      </c>
      <c r="R89" t="str" s="13" cm="1">
        <f t="array" ref="R89">D89</f>
        <v>piece</v>
      </c>
      <c r="S89" s="17" cm="1">
        <f t="array" ref="S89">Q89/(260/P89)</f>
        <v>223.538461538462</v>
      </c>
    </row>
    <row r="90" ht="13.55" customHeight="1">
      <c r="A90" t="s" s="12">
        <v>597</v>
      </c>
      <c r="B90" t="s" s="12">
        <v>598</v>
      </c>
      <c r="C90" t="s" s="12">
        <v>599</v>
      </c>
      <c r="D90" t="s" s="12">
        <v>21</v>
      </c>
      <c r="E90" t="s" s="12">
        <v>51</v>
      </c>
      <c r="F90" s="13"/>
      <c r="G90" t="s" s="12">
        <v>600</v>
      </c>
      <c r="H90" s="36">
        <v>0.22</v>
      </c>
      <c r="I90" s="13"/>
      <c r="J90" t="s" s="12">
        <v>601</v>
      </c>
      <c r="K90" s="13"/>
      <c r="L90" s="13"/>
      <c r="M90" s="13"/>
      <c r="N90" t="s" s="14">
        <v>215</v>
      </c>
      <c r="O90" t="s" s="14">
        <v>216</v>
      </c>
      <c r="P90" s="15">
        <v>40</v>
      </c>
      <c r="Q90" s="16">
        <v>17616</v>
      </c>
      <c r="R90" t="str" s="13" cm="1">
        <f t="array" ref="R90">D90</f>
        <v>piece</v>
      </c>
      <c r="S90" s="17" cm="1">
        <f t="array" ref="S90">Q90/(260/P90)</f>
        <v>2710.153846153850</v>
      </c>
    </row>
    <row r="91" ht="13.55" customHeight="1">
      <c r="A91" t="s" s="12">
        <v>602</v>
      </c>
      <c r="B91" t="s" s="12">
        <v>567</v>
      </c>
      <c r="C91" t="s" s="12">
        <v>568</v>
      </c>
      <c r="D91" t="s" s="12">
        <v>21</v>
      </c>
      <c r="E91" t="s" s="12">
        <v>51</v>
      </c>
      <c r="F91" s="13"/>
      <c r="G91" s="37">
        <v>3.37</v>
      </c>
      <c r="H91" s="36">
        <v>0.12</v>
      </c>
      <c r="I91" s="13"/>
      <c r="J91" t="s" s="12">
        <v>603</v>
      </c>
      <c r="K91" s="13"/>
      <c r="L91" s="13"/>
      <c r="M91" s="13"/>
      <c r="N91" t="s" s="14">
        <v>56</v>
      </c>
      <c r="O91" t="s" s="12">
        <v>57</v>
      </c>
      <c r="P91" s="15">
        <v>40</v>
      </c>
      <c r="Q91" s="16">
        <v>1639</v>
      </c>
      <c r="R91" t="str" s="13" cm="1">
        <f t="array" ref="R91">D91</f>
        <v>piece</v>
      </c>
      <c r="S91" s="17" cm="1">
        <f t="array" ref="S91">Q91/(260/P91)</f>
        <v>252.153846153846</v>
      </c>
    </row>
    <row r="92" ht="45" customHeight="1">
      <c r="A92" t="s" s="12">
        <v>604</v>
      </c>
      <c r="B92" t="s" s="12">
        <v>605</v>
      </c>
      <c r="C92" t="s" s="12">
        <v>606</v>
      </c>
      <c r="D92" t="s" s="12">
        <v>21</v>
      </c>
      <c r="E92" t="s" s="12">
        <v>51</v>
      </c>
      <c r="F92" s="13"/>
      <c r="G92" s="37">
        <v>3.11</v>
      </c>
      <c r="H92" s="36">
        <v>0.022</v>
      </c>
      <c r="I92" s="13"/>
      <c r="J92" t="s" s="11">
        <v>607</v>
      </c>
      <c r="K92" t="s" s="12">
        <v>608</v>
      </c>
      <c r="L92" s="13"/>
      <c r="M92" s="13"/>
      <c r="N92" t="s" s="14">
        <v>56</v>
      </c>
      <c r="O92" t="s" s="12">
        <v>57</v>
      </c>
      <c r="P92" s="15">
        <v>40</v>
      </c>
      <c r="Q92" s="16">
        <v>11001</v>
      </c>
      <c r="R92" t="str" s="13" cm="1">
        <f t="array" ref="R92">D92</f>
        <v>piece</v>
      </c>
      <c r="S92" s="17" cm="1">
        <f t="array" ref="S92">Q92/(260/P92)</f>
        <v>1692.461538461540</v>
      </c>
    </row>
    <row r="93" ht="45" customHeight="1">
      <c r="A93" t="s" s="12">
        <v>609</v>
      </c>
      <c r="B93" t="s" s="12">
        <v>610</v>
      </c>
      <c r="C93" t="s" s="12">
        <v>611</v>
      </c>
      <c r="D93" t="s" s="12">
        <v>21</v>
      </c>
      <c r="E93" t="s" s="12">
        <v>51</v>
      </c>
      <c r="F93" s="13"/>
      <c r="G93" s="37">
        <v>0.61</v>
      </c>
      <c r="H93" s="36">
        <v>0.012</v>
      </c>
      <c r="I93" s="13"/>
      <c r="J93" t="s" s="11">
        <v>612</v>
      </c>
      <c r="K93" s="13"/>
      <c r="L93" s="13"/>
      <c r="M93" s="13"/>
      <c r="N93" t="s" s="14">
        <v>56</v>
      </c>
      <c r="O93" t="s" s="12">
        <v>57</v>
      </c>
      <c r="P93" s="15">
        <v>40</v>
      </c>
      <c r="Q93" s="16">
        <v>122623</v>
      </c>
      <c r="R93" t="str" s="13" cm="1">
        <f t="array" ref="R93">D93</f>
        <v>piece</v>
      </c>
      <c r="S93" s="17" cm="1">
        <f t="array" ref="S93">Q93/(260/P93)</f>
        <v>18865.0769230769</v>
      </c>
    </row>
    <row r="94" ht="75" customHeight="1">
      <c r="A94" t="s" s="12">
        <v>613</v>
      </c>
      <c r="B94" t="s" s="12">
        <v>614</v>
      </c>
      <c r="C94" t="s" s="12">
        <v>615</v>
      </c>
      <c r="D94" t="s" s="12">
        <v>21</v>
      </c>
      <c r="E94" t="s" s="12">
        <v>51</v>
      </c>
      <c r="F94" s="13"/>
      <c r="G94" s="37">
        <v>13.01</v>
      </c>
      <c r="H94" s="36">
        <v>0.018</v>
      </c>
      <c r="I94" s="13"/>
      <c r="J94" t="s" s="11">
        <v>616</v>
      </c>
      <c r="K94" s="13"/>
      <c r="L94" s="13"/>
      <c r="M94" s="13"/>
      <c r="N94" t="s" s="14">
        <v>56</v>
      </c>
      <c r="O94" t="s" s="12">
        <v>57</v>
      </c>
      <c r="P94" s="15">
        <v>50</v>
      </c>
      <c r="Q94" s="16">
        <v>791</v>
      </c>
      <c r="R94" t="str" s="13" cm="1">
        <f t="array" ref="R94">D94</f>
        <v>piece</v>
      </c>
      <c r="S94" s="17" cm="1">
        <f t="array" ref="S94">Q94/(260/P94)</f>
        <v>152.115384615385</v>
      </c>
    </row>
    <row r="95" ht="13.55" customHeight="1">
      <c r="A95" t="s" s="12">
        <v>617</v>
      </c>
      <c r="B95" t="s" s="12">
        <v>618</v>
      </c>
      <c r="C95" t="s" s="12">
        <v>619</v>
      </c>
      <c r="D95" t="s" s="12">
        <v>21</v>
      </c>
      <c r="E95" t="s" s="12">
        <v>51</v>
      </c>
      <c r="F95" s="13"/>
      <c r="G95" s="37">
        <v>5.11</v>
      </c>
      <c r="H95" s="36">
        <v>0.02</v>
      </c>
      <c r="I95" s="13"/>
      <c r="J95" t="s" s="12">
        <v>620</v>
      </c>
      <c r="K95" s="13"/>
      <c r="L95" s="13"/>
      <c r="M95" s="13"/>
      <c r="N95" t="s" s="14">
        <v>56</v>
      </c>
      <c r="O95" t="s" s="12">
        <v>57</v>
      </c>
      <c r="P95" s="15">
        <v>40</v>
      </c>
      <c r="Q95" s="16">
        <v>3643</v>
      </c>
      <c r="R95" t="str" s="13" cm="1">
        <f t="array" ref="R95">D95</f>
        <v>piece</v>
      </c>
      <c r="S95" s="17" cm="1">
        <f t="array" ref="S95">Q95/(260/P95)</f>
        <v>560.461538461538</v>
      </c>
    </row>
    <row r="96" ht="30" customHeight="1">
      <c r="A96" t="s" s="12">
        <v>621</v>
      </c>
      <c r="B96" t="s" s="12">
        <v>622</v>
      </c>
      <c r="C96" t="s" s="12">
        <v>623</v>
      </c>
      <c r="D96" t="s" s="12">
        <v>21</v>
      </c>
      <c r="E96" t="s" s="12">
        <v>51</v>
      </c>
      <c r="F96" s="13"/>
      <c r="G96" s="37">
        <v>0.8100000000000001</v>
      </c>
      <c r="H96" s="36">
        <v>0.05</v>
      </c>
      <c r="I96" s="13"/>
      <c r="J96" t="s" s="11">
        <v>624</v>
      </c>
      <c r="K96" t="s" s="12">
        <v>472</v>
      </c>
      <c r="L96" s="13"/>
      <c r="M96" s="13"/>
      <c r="N96" t="s" s="14">
        <v>625</v>
      </c>
      <c r="O96" t="s" s="14">
        <v>626</v>
      </c>
      <c r="P96" s="15">
        <v>30</v>
      </c>
      <c r="Q96" s="16">
        <v>1536</v>
      </c>
      <c r="R96" t="str" s="13" cm="1">
        <f t="array" ref="R96">D96</f>
        <v>piece</v>
      </c>
      <c r="S96" s="17" cm="1">
        <f t="array" ref="S96">Q96/(260/P96)</f>
        <v>177.230769230769</v>
      </c>
    </row>
    <row r="97" ht="13.55" customHeight="1">
      <c r="A97" t="s" s="12">
        <v>627</v>
      </c>
      <c r="B97" t="s" s="12">
        <v>628</v>
      </c>
      <c r="C97" t="s" s="12">
        <v>629</v>
      </c>
      <c r="D97" t="s" s="12">
        <v>21</v>
      </c>
      <c r="E97" t="s" s="12">
        <v>51</v>
      </c>
      <c r="F97" s="13"/>
      <c r="G97" s="37">
        <v>0.68</v>
      </c>
      <c r="H97" s="36">
        <v>0.01</v>
      </c>
      <c r="I97" s="13"/>
      <c r="J97" t="s" s="12">
        <v>630</v>
      </c>
      <c r="K97" t="s" s="12">
        <v>631</v>
      </c>
      <c r="L97" s="13"/>
      <c r="M97" s="13"/>
      <c r="N97" t="s" s="14">
        <v>56</v>
      </c>
      <c r="O97" t="s" s="12">
        <v>57</v>
      </c>
      <c r="P97" s="15">
        <v>40</v>
      </c>
      <c r="Q97" s="16">
        <v>2697</v>
      </c>
      <c r="R97" t="str" s="13" cm="1">
        <f t="array" ref="R97">D97</f>
        <v>piece</v>
      </c>
      <c r="S97" s="17" cm="1">
        <f t="array" ref="S97">Q97/(260/P97)</f>
        <v>414.923076923077</v>
      </c>
    </row>
    <row r="98" ht="30" customHeight="1">
      <c r="A98" t="s" s="12">
        <v>632</v>
      </c>
      <c r="B98" t="s" s="12">
        <v>633</v>
      </c>
      <c r="C98" t="s" s="12">
        <v>634</v>
      </c>
      <c r="D98" t="s" s="12">
        <v>21</v>
      </c>
      <c r="E98" t="s" s="12">
        <v>269</v>
      </c>
      <c r="F98" s="13"/>
      <c r="G98" s="37">
        <v>0.63</v>
      </c>
      <c r="H98" s="36">
        <v>0.003</v>
      </c>
      <c r="I98" s="13"/>
      <c r="J98" t="s" s="11">
        <v>635</v>
      </c>
      <c r="K98" t="s" s="12">
        <v>636</v>
      </c>
      <c r="L98" s="13"/>
      <c r="M98" s="13"/>
      <c r="N98" t="s" s="14">
        <v>56</v>
      </c>
      <c r="O98" t="s" s="12">
        <v>57</v>
      </c>
      <c r="P98" s="15">
        <v>40</v>
      </c>
      <c r="Q98" s="16">
        <v>271928</v>
      </c>
      <c r="R98" t="str" s="13" cm="1">
        <f t="array" ref="R98">D98</f>
        <v>piece</v>
      </c>
      <c r="S98" s="17" cm="1">
        <f t="array" ref="S98">Q98/(260/P98)</f>
        <v>41835.0769230769</v>
      </c>
    </row>
    <row r="99" ht="45" customHeight="1">
      <c r="A99" t="s" s="12">
        <v>637</v>
      </c>
      <c r="B99" t="s" s="12">
        <v>638</v>
      </c>
      <c r="C99" t="s" s="12">
        <v>639</v>
      </c>
      <c r="D99" t="s" s="12">
        <v>21</v>
      </c>
      <c r="E99" t="s" s="12">
        <v>51</v>
      </c>
      <c r="F99" s="13"/>
      <c r="G99" s="37">
        <v>1.38</v>
      </c>
      <c r="H99" s="36">
        <v>0.02</v>
      </c>
      <c r="I99" s="13"/>
      <c r="J99" t="s" s="11">
        <v>640</v>
      </c>
      <c r="K99" s="13"/>
      <c r="L99" s="13"/>
      <c r="M99" s="13"/>
      <c r="N99" t="s" s="14">
        <v>215</v>
      </c>
      <c r="O99" t="s" s="14">
        <v>216</v>
      </c>
      <c r="P99" s="15">
        <v>40</v>
      </c>
      <c r="Q99" s="16">
        <v>1726</v>
      </c>
      <c r="R99" t="str" s="13" cm="1">
        <f t="array" ref="R99">D99</f>
        <v>piece</v>
      </c>
      <c r="S99" s="17" cm="1">
        <f t="array" ref="S99">Q99/(260/P99)</f>
        <v>265.538461538462</v>
      </c>
    </row>
    <row r="100" ht="60" customHeight="1">
      <c r="A100" t="s" s="12">
        <v>641</v>
      </c>
      <c r="B100" t="s" s="12">
        <v>642</v>
      </c>
      <c r="C100" t="s" s="12">
        <v>643</v>
      </c>
      <c r="D100" t="s" s="12">
        <v>21</v>
      </c>
      <c r="E100" t="s" s="12">
        <v>51</v>
      </c>
      <c r="F100" s="13"/>
      <c r="G100" s="37">
        <v>4.75</v>
      </c>
      <c r="H100" s="36">
        <v>0.05</v>
      </c>
      <c r="I100" s="13"/>
      <c r="J100" t="s" s="11">
        <v>644</v>
      </c>
      <c r="K100" t="s" s="12">
        <v>645</v>
      </c>
      <c r="L100" s="13"/>
      <c r="M100" s="13"/>
      <c r="N100" t="s" s="14">
        <v>215</v>
      </c>
      <c r="O100" t="s" s="14">
        <v>216</v>
      </c>
      <c r="P100" s="15">
        <v>40</v>
      </c>
      <c r="Q100" s="16">
        <v>4025</v>
      </c>
      <c r="R100" t="str" s="13" cm="1">
        <f t="array" ref="R100">D100</f>
        <v>piece</v>
      </c>
      <c r="S100" s="17" cm="1">
        <f t="array" ref="S100">Q100/(260/P100)</f>
        <v>619.2307692307691</v>
      </c>
    </row>
    <row r="101" ht="13.55" customHeight="1">
      <c r="A101" t="s" s="12">
        <v>646</v>
      </c>
      <c r="B101" t="s" s="12">
        <v>647</v>
      </c>
      <c r="C101" t="s" s="12">
        <v>648</v>
      </c>
      <c r="D101" t="s" s="12">
        <v>21</v>
      </c>
      <c r="E101" t="s" s="12">
        <v>51</v>
      </c>
      <c r="F101" s="13"/>
      <c r="G101" s="37">
        <v>0.04</v>
      </c>
      <c r="H101" s="36">
        <v>0.001</v>
      </c>
      <c r="I101" s="13"/>
      <c r="J101" t="s" s="12">
        <v>649</v>
      </c>
      <c r="K101" t="s" s="12">
        <v>650</v>
      </c>
      <c r="L101" s="13"/>
      <c r="M101" s="13"/>
      <c r="N101" t="s" s="14">
        <v>56</v>
      </c>
      <c r="O101" t="s" s="12">
        <v>57</v>
      </c>
      <c r="P101" s="15">
        <v>40</v>
      </c>
      <c r="Q101" s="16">
        <v>406220</v>
      </c>
      <c r="R101" t="str" s="13" cm="1">
        <f t="array" ref="R101">D101</f>
        <v>piece</v>
      </c>
      <c r="S101" s="17" cm="1">
        <f t="array" ref="S101">Q101/(260/P101)</f>
        <v>62495.3846153846</v>
      </c>
    </row>
    <row r="102" ht="13.55" customHeight="1">
      <c r="A102" t="s" s="12">
        <v>651</v>
      </c>
      <c r="B102" t="s" s="12">
        <v>652</v>
      </c>
      <c r="C102" t="s" s="12">
        <v>653</v>
      </c>
      <c r="D102" t="s" s="12">
        <v>21</v>
      </c>
      <c r="E102" t="s" s="12">
        <v>51</v>
      </c>
      <c r="F102" s="13"/>
      <c r="G102" s="37">
        <v>0.44</v>
      </c>
      <c r="H102" s="36">
        <v>0.003</v>
      </c>
      <c r="I102" s="13"/>
      <c r="J102" t="s" s="12">
        <v>654</v>
      </c>
      <c r="K102" t="s" s="12">
        <v>655</v>
      </c>
      <c r="L102" s="13"/>
      <c r="M102" s="13"/>
      <c r="N102" t="s" s="14">
        <v>56</v>
      </c>
      <c r="O102" t="s" s="12">
        <v>57</v>
      </c>
      <c r="P102" s="15">
        <v>50</v>
      </c>
      <c r="Q102" s="16">
        <v>6905</v>
      </c>
      <c r="R102" t="str" s="13" cm="1">
        <f t="array" ref="R102">D102</f>
        <v>piece</v>
      </c>
      <c r="S102" s="17" cm="1">
        <f t="array" ref="S102">Q102/(260/P102)</f>
        <v>1327.884615384620</v>
      </c>
    </row>
    <row r="103" ht="13.55" customHeight="1">
      <c r="A103" t="s" s="12">
        <v>656</v>
      </c>
      <c r="B103" t="s" s="12">
        <v>657</v>
      </c>
      <c r="C103" t="s" s="12">
        <v>658</v>
      </c>
      <c r="D103" t="s" s="12">
        <v>21</v>
      </c>
      <c r="E103" t="s" s="12">
        <v>51</v>
      </c>
      <c r="F103" s="13"/>
      <c r="G103" s="37">
        <v>0.42</v>
      </c>
      <c r="H103" s="36">
        <v>0.002</v>
      </c>
      <c r="I103" s="13"/>
      <c r="J103" t="s" s="12">
        <v>659</v>
      </c>
      <c r="K103" t="s" s="12">
        <v>660</v>
      </c>
      <c r="L103" s="13"/>
      <c r="M103" s="13"/>
      <c r="N103" t="s" s="14">
        <v>215</v>
      </c>
      <c r="O103" t="s" s="14">
        <v>216</v>
      </c>
      <c r="P103" s="15">
        <v>35</v>
      </c>
      <c r="Q103" s="16">
        <v>3891</v>
      </c>
      <c r="R103" t="str" s="13" cm="1">
        <f t="array" ref="R103">D103</f>
        <v>piece</v>
      </c>
      <c r="S103" s="17" cm="1">
        <f t="array" ref="S103">Q103/(260/P103)</f>
        <v>523.788461538462</v>
      </c>
    </row>
    <row r="104" ht="13.55" customHeight="1">
      <c r="A104" t="s" s="12">
        <v>661</v>
      </c>
      <c r="B104" t="s" s="12">
        <v>662</v>
      </c>
      <c r="C104" t="s" s="12">
        <v>663</v>
      </c>
      <c r="D104" t="s" s="12">
        <v>21</v>
      </c>
      <c r="E104" t="s" s="12">
        <v>51</v>
      </c>
      <c r="F104" s="13"/>
      <c r="G104" s="37">
        <v>1.23</v>
      </c>
      <c r="H104" s="36">
        <v>0.005</v>
      </c>
      <c r="I104" s="13"/>
      <c r="J104" t="s" s="12">
        <v>664</v>
      </c>
      <c r="K104" t="s" s="12">
        <v>665</v>
      </c>
      <c r="L104" s="13"/>
      <c r="M104" s="13"/>
      <c r="N104" t="s" s="14">
        <v>215</v>
      </c>
      <c r="O104" t="s" s="14">
        <v>216</v>
      </c>
      <c r="P104" s="15">
        <v>40</v>
      </c>
      <c r="Q104" s="16">
        <v>3215</v>
      </c>
      <c r="R104" t="str" s="13" cm="1">
        <f t="array" ref="R104">D104</f>
        <v>piece</v>
      </c>
      <c r="S104" s="17" cm="1">
        <f t="array" ref="S104">Q104/(260/P104)</f>
        <v>494.615384615385</v>
      </c>
    </row>
    <row r="105" ht="13.55" customHeight="1">
      <c r="A105" t="s" s="12">
        <v>666</v>
      </c>
      <c r="B105" t="s" s="12">
        <v>413</v>
      </c>
      <c r="C105" t="s" s="12">
        <v>667</v>
      </c>
      <c r="D105" t="s" s="12">
        <v>21</v>
      </c>
      <c r="E105" t="s" s="12">
        <v>269</v>
      </c>
      <c r="F105" s="13"/>
      <c r="G105" s="37">
        <v>0.68</v>
      </c>
      <c r="H105" s="36">
        <v>0.005</v>
      </c>
      <c r="I105" s="13"/>
      <c r="J105" t="s" s="12">
        <v>668</v>
      </c>
      <c r="K105" t="s" s="12">
        <v>669</v>
      </c>
      <c r="L105" s="13"/>
      <c r="M105" s="13"/>
      <c r="N105" t="s" s="14">
        <v>56</v>
      </c>
      <c r="O105" t="s" s="12">
        <v>57</v>
      </c>
      <c r="P105" s="15">
        <v>40</v>
      </c>
      <c r="Q105" s="16">
        <v>13120</v>
      </c>
      <c r="R105" t="str" s="13" cm="1">
        <f t="array" ref="R105">D105</f>
        <v>piece</v>
      </c>
      <c r="S105" s="17" cm="1">
        <f t="array" ref="S105">Q105/(260/P105)</f>
        <v>2018.461538461540</v>
      </c>
    </row>
    <row r="106" ht="13.55" customHeight="1">
      <c r="A106" t="s" s="12">
        <v>670</v>
      </c>
      <c r="B106" t="s" s="12">
        <v>671</v>
      </c>
      <c r="C106" t="s" s="12">
        <v>672</v>
      </c>
      <c r="D106" t="s" s="12">
        <v>21</v>
      </c>
      <c r="E106" t="s" s="12">
        <v>51</v>
      </c>
      <c r="F106" s="13"/>
      <c r="G106" s="37">
        <v>22.64</v>
      </c>
      <c r="H106" s="36">
        <v>0.068</v>
      </c>
      <c r="I106" s="13"/>
      <c r="J106" t="s" s="12">
        <v>673</v>
      </c>
      <c r="K106" t="s" s="12">
        <v>674</v>
      </c>
      <c r="L106" s="13"/>
      <c r="M106" s="13"/>
      <c r="N106" t="s" s="14">
        <v>215</v>
      </c>
      <c r="O106" t="s" s="14">
        <v>216</v>
      </c>
      <c r="P106" s="15">
        <v>40</v>
      </c>
      <c r="Q106" s="16">
        <v>693</v>
      </c>
      <c r="R106" t="str" s="13" cm="1">
        <f t="array" ref="R106">D106</f>
        <v>piece</v>
      </c>
      <c r="S106" s="17" cm="1">
        <f t="array" ref="S106">Q106/(260/P106)</f>
        <v>106.615384615385</v>
      </c>
    </row>
    <row r="107" ht="13.55" customHeight="1">
      <c r="A107" t="s" s="12">
        <v>675</v>
      </c>
      <c r="B107" t="s" s="12">
        <v>676</v>
      </c>
      <c r="C107" t="s" s="12">
        <v>677</v>
      </c>
      <c r="D107" t="s" s="12">
        <v>21</v>
      </c>
      <c r="E107" t="s" s="12">
        <v>51</v>
      </c>
      <c r="F107" s="13"/>
      <c r="G107" s="37">
        <v>19.89</v>
      </c>
      <c r="H107" s="36">
        <v>0.07099999999999999</v>
      </c>
      <c r="I107" s="13"/>
      <c r="J107" t="s" s="12">
        <v>677</v>
      </c>
      <c r="K107" t="s" s="12">
        <v>678</v>
      </c>
      <c r="L107" s="13"/>
      <c r="M107" s="13"/>
      <c r="N107" t="s" s="14">
        <v>215</v>
      </c>
      <c r="O107" t="s" s="14">
        <v>216</v>
      </c>
      <c r="P107" s="15">
        <v>40</v>
      </c>
      <c r="Q107" s="16">
        <v>678</v>
      </c>
      <c r="R107" t="str" s="13" cm="1">
        <f t="array" ref="R107">D107</f>
        <v>piece</v>
      </c>
      <c r="S107" s="17" cm="1">
        <f t="array" ref="S107">Q107/(260/P107)</f>
        <v>104.307692307692</v>
      </c>
    </row>
    <row r="108" ht="13.55" customHeight="1">
      <c r="A108" t="s" s="12">
        <v>679</v>
      </c>
      <c r="B108" t="s" s="12">
        <v>680</v>
      </c>
      <c r="C108" t="s" s="12">
        <v>681</v>
      </c>
      <c r="D108" t="s" s="12">
        <v>21</v>
      </c>
      <c r="E108" t="s" s="12">
        <v>51</v>
      </c>
      <c r="F108" s="13"/>
      <c r="G108" s="37">
        <v>0.08</v>
      </c>
      <c r="H108" s="36">
        <v>0.002</v>
      </c>
      <c r="I108" s="13"/>
      <c r="J108" t="s" s="12">
        <v>682</v>
      </c>
      <c r="K108" t="s" s="12">
        <v>683</v>
      </c>
      <c r="L108" s="13"/>
      <c r="M108" s="13"/>
      <c r="N108" t="s" s="14">
        <v>56</v>
      </c>
      <c r="O108" t="s" s="12">
        <v>57</v>
      </c>
      <c r="P108" s="15">
        <v>30</v>
      </c>
      <c r="Q108" s="16">
        <v>20242</v>
      </c>
      <c r="R108" t="str" s="13" cm="1">
        <f t="array" ref="R108">D108</f>
        <v>piece</v>
      </c>
      <c r="S108" s="17" cm="1">
        <f t="array" ref="S108">Q108/(260/P108)</f>
        <v>2335.615384615380</v>
      </c>
    </row>
    <row r="109" ht="150" customHeight="1">
      <c r="A109" t="s" s="12">
        <v>684</v>
      </c>
      <c r="B109" t="s" s="12">
        <v>685</v>
      </c>
      <c r="C109" t="s" s="12">
        <v>686</v>
      </c>
      <c r="D109" t="s" s="12">
        <v>21</v>
      </c>
      <c r="E109" t="s" s="12">
        <v>51</v>
      </c>
      <c r="F109" s="13"/>
      <c r="G109" s="37">
        <v>389.33</v>
      </c>
      <c r="H109" s="36">
        <v>3.772</v>
      </c>
      <c r="I109" s="13"/>
      <c r="J109" t="s" s="11">
        <v>687</v>
      </c>
      <c r="K109" s="13"/>
      <c r="L109" s="13"/>
      <c r="M109" s="13"/>
      <c r="N109" t="s" s="14">
        <v>215</v>
      </c>
      <c r="O109" t="s" s="14">
        <v>216</v>
      </c>
      <c r="P109" s="15">
        <v>40</v>
      </c>
      <c r="Q109" s="16">
        <v>54</v>
      </c>
      <c r="R109" t="str" s="13" cm="1">
        <f t="array" ref="R109">D109</f>
        <v>piece</v>
      </c>
      <c r="S109" s="17" cm="1">
        <f t="array" ref="S109">Q109/(260/P109)</f>
        <v>8.30769230769231</v>
      </c>
    </row>
    <row r="110" ht="60" customHeight="1">
      <c r="A110" t="s" s="12">
        <v>688</v>
      </c>
      <c r="B110" t="s" s="12">
        <v>689</v>
      </c>
      <c r="C110" t="s" s="12">
        <v>690</v>
      </c>
      <c r="D110" t="s" s="12">
        <v>21</v>
      </c>
      <c r="E110" t="s" s="12">
        <v>51</v>
      </c>
      <c r="F110" s="13"/>
      <c r="G110" s="38">
        <v>8.83</v>
      </c>
      <c r="H110" s="36">
        <v>0.08</v>
      </c>
      <c r="I110" s="13"/>
      <c r="J110" t="s" s="24">
        <v>691</v>
      </c>
      <c r="K110" t="s" s="12">
        <v>692</v>
      </c>
      <c r="L110" s="13"/>
      <c r="M110" s="13"/>
      <c r="N110" t="s" s="14">
        <v>215</v>
      </c>
      <c r="O110" t="s" s="14">
        <v>216</v>
      </c>
      <c r="P110" s="15">
        <v>50</v>
      </c>
      <c r="Q110" s="16">
        <v>25951</v>
      </c>
      <c r="R110" t="str" s="13" cm="1">
        <f t="array" ref="R110">D110</f>
        <v>piece</v>
      </c>
      <c r="S110" s="17" cm="1">
        <f t="array" ref="S110">Q110/(260/P110)</f>
        <v>4990.576923076920</v>
      </c>
    </row>
    <row r="111" ht="13.55" customHeight="1">
      <c r="A111" t="s" s="12">
        <v>693</v>
      </c>
      <c r="B111" t="s" s="12">
        <v>694</v>
      </c>
      <c r="C111" t="s" s="12">
        <v>695</v>
      </c>
      <c r="D111" t="s" s="12">
        <v>21</v>
      </c>
      <c r="E111" t="s" s="12">
        <v>51</v>
      </c>
      <c r="F111" s="39"/>
      <c r="G111" s="40">
        <v>0</v>
      </c>
      <c r="H111" s="41">
        <v>0.654</v>
      </c>
      <c r="I111" t="s" s="42">
        <v>696</v>
      </c>
      <c r="J111" t="s" s="43">
        <v>697</v>
      </c>
      <c r="K111" s="44"/>
      <c r="L111" s="13"/>
      <c r="M111" s="13"/>
      <c r="N111" t="s" s="14">
        <v>56</v>
      </c>
      <c r="O111" t="s" s="12">
        <v>57</v>
      </c>
      <c r="P111" s="15">
        <v>40</v>
      </c>
      <c r="Q111" s="4"/>
      <c r="R111" t="str" s="13" cm="1">
        <f t="array" ref="R111">D111</f>
        <v>piece</v>
      </c>
      <c r="S111" s="17" cm="1">
        <f t="array" ref="S111">Q111/(260/P111)</f>
        <v>0</v>
      </c>
    </row>
    <row r="112" ht="60" customHeight="1">
      <c r="A112" t="s" s="12">
        <v>698</v>
      </c>
      <c r="B112" t="s" s="12">
        <v>699</v>
      </c>
      <c r="C112" t="s" s="12">
        <v>700</v>
      </c>
      <c r="D112" t="s" s="12">
        <v>21</v>
      </c>
      <c r="E112" t="s" s="12">
        <v>51</v>
      </c>
      <c r="F112" s="13"/>
      <c r="G112" s="45">
        <v>7.58</v>
      </c>
      <c r="H112" s="36">
        <v>0</v>
      </c>
      <c r="I112" t="s" s="12">
        <v>696</v>
      </c>
      <c r="J112" t="s" s="34">
        <v>701</v>
      </c>
      <c r="K112" s="13"/>
      <c r="L112" s="13"/>
      <c r="M112" s="13"/>
      <c r="N112" t="s" s="14">
        <v>56</v>
      </c>
      <c r="O112" t="s" s="12">
        <v>57</v>
      </c>
      <c r="P112" s="15">
        <v>40</v>
      </c>
      <c r="Q112" s="4"/>
      <c r="R112" t="str" s="13" cm="1">
        <f t="array" ref="R112">D112</f>
        <v>piece</v>
      </c>
      <c r="S112" s="17" cm="1">
        <f t="array" ref="S112">Q112/(260/P112)</f>
        <v>0</v>
      </c>
    </row>
    <row r="113" ht="60" customHeight="1">
      <c r="A113" t="s" s="12">
        <v>702</v>
      </c>
      <c r="B113" t="s" s="12">
        <v>703</v>
      </c>
      <c r="C113" t="s" s="12">
        <v>704</v>
      </c>
      <c r="D113" t="s" s="12">
        <v>21</v>
      </c>
      <c r="E113" t="s" s="12">
        <v>51</v>
      </c>
      <c r="F113" s="13"/>
      <c r="G113" s="37">
        <v>11.37</v>
      </c>
      <c r="H113" s="36">
        <v>0.03</v>
      </c>
      <c r="I113" t="s" s="12">
        <v>696</v>
      </c>
      <c r="J113" t="s" s="11">
        <v>705</v>
      </c>
      <c r="K113" t="s" s="12">
        <v>706</v>
      </c>
      <c r="L113" s="13"/>
      <c r="M113" s="13"/>
      <c r="N113" t="s" s="14">
        <v>56</v>
      </c>
      <c r="O113" t="s" s="12">
        <v>57</v>
      </c>
      <c r="P113" s="15">
        <v>40</v>
      </c>
      <c r="Q113" s="4"/>
      <c r="R113" t="str" s="13" cm="1">
        <f t="array" ref="R113">D113</f>
        <v>piece</v>
      </c>
      <c r="S113" s="17" cm="1">
        <f t="array" ref="S113">Q113/(260/P113)</f>
        <v>0</v>
      </c>
    </row>
    <row r="114" ht="60" customHeight="1">
      <c r="A114" t="s" s="12">
        <v>707</v>
      </c>
      <c r="B114" t="s" s="12">
        <v>708</v>
      </c>
      <c r="C114" t="s" s="12">
        <v>709</v>
      </c>
      <c r="D114" t="s" s="12">
        <v>21</v>
      </c>
      <c r="E114" t="s" s="12">
        <v>51</v>
      </c>
      <c r="F114" s="13"/>
      <c r="G114" s="37">
        <v>12.5</v>
      </c>
      <c r="H114" s="36">
        <v>0.03</v>
      </c>
      <c r="I114" t="s" s="12">
        <v>696</v>
      </c>
      <c r="J114" t="s" s="11">
        <v>705</v>
      </c>
      <c r="K114" t="s" s="12">
        <v>706</v>
      </c>
      <c r="L114" s="13"/>
      <c r="M114" s="13"/>
      <c r="N114" t="s" s="14">
        <v>133</v>
      </c>
      <c r="O114" t="s" s="14">
        <v>134</v>
      </c>
      <c r="P114" s="15">
        <v>40</v>
      </c>
      <c r="Q114" s="4"/>
      <c r="R114" t="str" s="13" cm="1">
        <f t="array" ref="R114">D114</f>
        <v>piece</v>
      </c>
      <c r="S114" s="17" cm="1">
        <f t="array" ref="S114">Q114/(260/P114)</f>
        <v>0</v>
      </c>
    </row>
    <row r="115" ht="165" customHeight="1">
      <c r="A115" t="s" s="12">
        <v>710</v>
      </c>
      <c r="B115" t="s" s="12">
        <v>711</v>
      </c>
      <c r="C115" t="s" s="12">
        <v>712</v>
      </c>
      <c r="D115" t="s" s="12">
        <v>21</v>
      </c>
      <c r="E115" t="s" s="12">
        <v>51</v>
      </c>
      <c r="F115" s="13"/>
      <c r="G115" s="37">
        <v>786.13</v>
      </c>
      <c r="H115" s="36">
        <v>4.003</v>
      </c>
      <c r="I115" t="s" s="12">
        <v>713</v>
      </c>
      <c r="J115" t="s" s="11">
        <v>714</v>
      </c>
      <c r="K115" s="13"/>
      <c r="L115" s="13"/>
      <c r="M115" s="13"/>
      <c r="N115" t="s" s="14">
        <v>715</v>
      </c>
      <c r="O115" t="s" s="14">
        <v>716</v>
      </c>
      <c r="P115" s="15">
        <v>40</v>
      </c>
      <c r="Q115" s="16">
        <v>18</v>
      </c>
      <c r="R115" t="str" s="13" cm="1">
        <f t="array" ref="R115">D115</f>
        <v>piece</v>
      </c>
      <c r="S115" s="17" cm="1">
        <f t="array" ref="S115">Q115/(260/P115)</f>
        <v>2.76923076923077</v>
      </c>
    </row>
    <row r="116" ht="120" customHeight="1">
      <c r="A116" t="s" s="12">
        <v>717</v>
      </c>
      <c r="B116" t="s" s="12">
        <v>718</v>
      </c>
      <c r="C116" t="s" s="12">
        <v>719</v>
      </c>
      <c r="D116" t="s" s="12">
        <v>21</v>
      </c>
      <c r="E116" t="s" s="12">
        <v>22</v>
      </c>
      <c r="F116" s="13"/>
      <c r="G116" s="37">
        <v>229</v>
      </c>
      <c r="H116" s="36">
        <v>0.233</v>
      </c>
      <c r="I116" s="13"/>
      <c r="J116" t="s" s="11">
        <v>720</v>
      </c>
      <c r="K116" s="13"/>
      <c r="L116" s="13"/>
      <c r="M116" s="13"/>
      <c r="N116" t="s" s="14">
        <v>721</v>
      </c>
      <c r="O116" t="s" s="14">
        <v>722</v>
      </c>
      <c r="P116" s="15">
        <v>40</v>
      </c>
      <c r="Q116" s="4"/>
      <c r="R116" t="str" s="13" cm="1">
        <f t="array" ref="R116">D116</f>
        <v>piece</v>
      </c>
      <c r="S116" s="17" cm="1">
        <f t="array" ref="S116">Q116/(260/P116)</f>
        <v>0</v>
      </c>
    </row>
    <row r="117" ht="45" customHeight="1">
      <c r="A117" t="s" s="12">
        <v>723</v>
      </c>
      <c r="B117" t="s" s="12">
        <v>724</v>
      </c>
      <c r="C117" t="s" s="12">
        <v>725</v>
      </c>
      <c r="D117" t="s" s="12">
        <v>21</v>
      </c>
      <c r="E117" t="s" s="12">
        <v>51</v>
      </c>
      <c r="F117" s="13"/>
      <c r="G117" s="37">
        <v>14.32</v>
      </c>
      <c r="H117" s="36">
        <v>0.03</v>
      </c>
      <c r="I117" s="13"/>
      <c r="J117" t="s" s="11">
        <v>726</v>
      </c>
      <c r="K117" t="s" s="12">
        <v>727</v>
      </c>
      <c r="L117" s="13"/>
      <c r="M117" s="13"/>
      <c r="N117" t="s" s="14">
        <v>56</v>
      </c>
      <c r="O117" t="s" s="12">
        <v>57</v>
      </c>
      <c r="P117" s="15">
        <v>50</v>
      </c>
      <c r="Q117" s="16">
        <v>248</v>
      </c>
      <c r="R117" t="str" s="13" cm="1">
        <f t="array" ref="R117">D117</f>
        <v>piece</v>
      </c>
      <c r="S117" s="17" cm="1">
        <f t="array" ref="S117">Q117/(260/P117)</f>
        <v>47.6923076923077</v>
      </c>
    </row>
    <row r="118" ht="45" customHeight="1">
      <c r="A118" t="s" s="12">
        <v>728</v>
      </c>
      <c r="B118" t="s" s="12">
        <v>729</v>
      </c>
      <c r="C118" t="s" s="12">
        <v>730</v>
      </c>
      <c r="D118" t="s" s="12">
        <v>21</v>
      </c>
      <c r="E118" t="s" s="12">
        <v>269</v>
      </c>
      <c r="F118" s="13"/>
      <c r="G118" s="37">
        <v>3.5</v>
      </c>
      <c r="H118" s="36">
        <v>0.06</v>
      </c>
      <c r="I118" s="13"/>
      <c r="J118" t="s" s="11">
        <v>511</v>
      </c>
      <c r="K118" t="s" s="12">
        <v>731</v>
      </c>
      <c r="L118" s="13"/>
      <c r="M118" s="13"/>
      <c r="N118" t="s" s="14">
        <v>732</v>
      </c>
      <c r="O118" t="s" s="14">
        <v>733</v>
      </c>
      <c r="P118" s="15">
        <v>40</v>
      </c>
      <c r="Q118" s="16">
        <v>1870</v>
      </c>
      <c r="R118" t="str" s="13" cm="1">
        <f t="array" ref="R118">D118</f>
        <v>piece</v>
      </c>
      <c r="S118" s="17" cm="1">
        <f t="array" ref="S118">Q118/(260/P118)</f>
        <v>287.692307692308</v>
      </c>
    </row>
    <row r="119" ht="105" customHeight="1">
      <c r="A119" t="s" s="12">
        <v>734</v>
      </c>
      <c r="B119" t="s" s="12">
        <v>735</v>
      </c>
      <c r="C119" t="s" s="12">
        <v>736</v>
      </c>
      <c r="D119" t="s" s="12">
        <v>21</v>
      </c>
      <c r="E119" t="s" s="12">
        <v>51</v>
      </c>
      <c r="F119" s="13"/>
      <c r="G119" s="37">
        <v>38.64</v>
      </c>
      <c r="H119" s="36">
        <v>0.075</v>
      </c>
      <c r="I119" s="13"/>
      <c r="J119" t="s" s="11">
        <v>737</v>
      </c>
      <c r="K119" s="13"/>
      <c r="L119" s="13"/>
      <c r="M119" s="13"/>
      <c r="N119" t="s" s="14">
        <v>721</v>
      </c>
      <c r="O119" t="s" s="14">
        <v>722</v>
      </c>
      <c r="P119" s="15">
        <v>40</v>
      </c>
      <c r="Q119" s="16">
        <v>301</v>
      </c>
      <c r="R119" t="str" s="13" cm="1">
        <f t="array" ref="R119">D119</f>
        <v>piece</v>
      </c>
      <c r="S119" s="17" cm="1">
        <f t="array" ref="S119">Q119/(260/P119)</f>
        <v>46.3076923076923</v>
      </c>
    </row>
    <row r="120" ht="45" customHeight="1">
      <c r="A120" t="s" s="12">
        <v>738</v>
      </c>
      <c r="B120" t="s" s="12">
        <v>739</v>
      </c>
      <c r="C120" t="s" s="12">
        <v>740</v>
      </c>
      <c r="D120" t="s" s="12">
        <v>21</v>
      </c>
      <c r="E120" t="s" s="12">
        <v>51</v>
      </c>
      <c r="F120" s="13"/>
      <c r="G120" s="37">
        <v>22.73</v>
      </c>
      <c r="H120" s="36">
        <v>0.002</v>
      </c>
      <c r="I120" s="13"/>
      <c r="J120" t="s" s="11">
        <v>741</v>
      </c>
      <c r="K120" t="s" s="12">
        <v>742</v>
      </c>
      <c r="L120" s="13"/>
      <c r="M120" s="13"/>
      <c r="N120" t="s" s="14">
        <v>721</v>
      </c>
      <c r="O120" t="s" s="14">
        <v>722</v>
      </c>
      <c r="P120" s="15">
        <v>40</v>
      </c>
      <c r="Q120" s="16">
        <v>100</v>
      </c>
      <c r="R120" t="str" s="13" cm="1">
        <f t="array" ref="R120">D120</f>
        <v>piece</v>
      </c>
      <c r="S120" s="17" cm="1">
        <f t="array" ref="S120">Q120/(260/P120)</f>
        <v>15.3846153846154</v>
      </c>
    </row>
    <row r="121" ht="30" customHeight="1">
      <c r="A121" t="s" s="12">
        <v>743</v>
      </c>
      <c r="B121" t="s" s="12">
        <v>744</v>
      </c>
      <c r="C121" t="s" s="12">
        <v>745</v>
      </c>
      <c r="D121" t="s" s="12">
        <v>21</v>
      </c>
      <c r="E121" t="s" s="12">
        <v>51</v>
      </c>
      <c r="F121" s="13"/>
      <c r="G121" s="37">
        <v>35.99</v>
      </c>
      <c r="H121" s="36">
        <v>0.05</v>
      </c>
      <c r="I121" s="13"/>
      <c r="J121" t="s" s="11">
        <v>746</v>
      </c>
      <c r="K121" t="s" s="12">
        <v>747</v>
      </c>
      <c r="L121" s="13"/>
      <c r="M121" s="13"/>
      <c r="N121" t="s" s="14">
        <v>721</v>
      </c>
      <c r="O121" t="s" s="14">
        <v>722</v>
      </c>
      <c r="P121" s="15">
        <v>40</v>
      </c>
      <c r="Q121" s="16">
        <v>60</v>
      </c>
      <c r="R121" t="str" s="13" cm="1">
        <f t="array" ref="R121">D121</f>
        <v>piece</v>
      </c>
      <c r="S121" s="17" cm="1">
        <f t="array" ref="S121">Q121/(260/P121)</f>
        <v>9.23076923076923</v>
      </c>
    </row>
    <row r="122" ht="45" customHeight="1">
      <c r="A122" t="s" s="12">
        <v>748</v>
      </c>
      <c r="B122" t="s" s="12">
        <v>749</v>
      </c>
      <c r="C122" t="s" s="12">
        <v>750</v>
      </c>
      <c r="D122" t="s" s="12">
        <v>21</v>
      </c>
      <c r="E122" t="s" s="12">
        <v>51</v>
      </c>
      <c r="F122" s="13"/>
      <c r="G122" s="37">
        <v>11.97</v>
      </c>
      <c r="H122" s="36">
        <v>0.101</v>
      </c>
      <c r="I122" s="13"/>
      <c r="J122" t="s" s="11">
        <v>751</v>
      </c>
      <c r="K122" t="s" s="12">
        <v>752</v>
      </c>
      <c r="L122" s="13"/>
      <c r="M122" s="13"/>
      <c r="N122" t="s" s="14">
        <v>56</v>
      </c>
      <c r="O122" t="s" s="12">
        <v>57</v>
      </c>
      <c r="P122" s="15">
        <v>40</v>
      </c>
      <c r="Q122" s="16">
        <v>730</v>
      </c>
      <c r="R122" t="str" s="13" cm="1">
        <f t="array" ref="R122">D122</f>
        <v>piece</v>
      </c>
      <c r="S122" s="17" cm="1">
        <f t="array" ref="S122">Q122/(260/P122)</f>
        <v>112.307692307692</v>
      </c>
    </row>
    <row r="123" ht="30" customHeight="1">
      <c r="A123" t="s" s="12">
        <v>753</v>
      </c>
      <c r="B123" t="s" s="12">
        <v>754</v>
      </c>
      <c r="C123" t="s" s="12">
        <v>755</v>
      </c>
      <c r="D123" t="s" s="12">
        <v>21</v>
      </c>
      <c r="E123" t="s" s="22">
        <v>51</v>
      </c>
      <c r="F123" s="13"/>
      <c r="G123" s="38">
        <v>2.25</v>
      </c>
      <c r="H123" s="36">
        <v>0.18</v>
      </c>
      <c r="I123" s="13"/>
      <c r="J123" t="s" s="11">
        <v>756</v>
      </c>
      <c r="K123" t="s" s="12">
        <v>757</v>
      </c>
      <c r="L123" s="13"/>
      <c r="M123" s="13"/>
      <c r="N123" t="s" s="14">
        <v>56</v>
      </c>
      <c r="O123" t="s" s="12">
        <v>57</v>
      </c>
      <c r="P123" s="15">
        <v>55</v>
      </c>
      <c r="Q123" s="16">
        <v>48517</v>
      </c>
      <c r="R123" t="str" s="13" cm="1">
        <f t="array" ref="R123">D123</f>
        <v>piece</v>
      </c>
      <c r="S123" s="17" cm="1">
        <f t="array" ref="S123">Q123/(260/P123)</f>
        <v>10263.2115384615</v>
      </c>
    </row>
    <row r="124" ht="45" customHeight="1">
      <c r="A124" t="s" s="12">
        <v>758</v>
      </c>
      <c r="B124" t="s" s="12">
        <v>759</v>
      </c>
      <c r="C124" t="s" s="12">
        <v>760</v>
      </c>
      <c r="D124" t="s" s="42">
        <v>21</v>
      </c>
      <c r="E124" s="46"/>
      <c r="F124" s="28"/>
      <c r="G124" s="40">
        <v>0</v>
      </c>
      <c r="H124" s="41">
        <v>0.023</v>
      </c>
      <c r="I124" s="13"/>
      <c r="J124" t="s" s="11">
        <v>761</v>
      </c>
      <c r="K124" s="13"/>
      <c r="L124" s="13"/>
      <c r="M124" s="13"/>
      <c r="N124" t="s" s="14">
        <v>721</v>
      </c>
      <c r="O124" t="s" s="14">
        <v>722</v>
      </c>
      <c r="P124" s="15">
        <v>40</v>
      </c>
      <c r="Q124" s="4"/>
      <c r="R124" t="str" s="13" cm="1">
        <f t="array" ref="R124">D124</f>
        <v>piece</v>
      </c>
      <c r="S124" s="17" cm="1">
        <f t="array" ref="S124">Q124/(260/P124)</f>
        <v>0</v>
      </c>
    </row>
    <row r="125" ht="13.55" customHeight="1">
      <c r="A125" t="s" s="12">
        <v>762</v>
      </c>
      <c r="B125" t="s" s="12">
        <v>593</v>
      </c>
      <c r="C125" t="s" s="12">
        <v>594</v>
      </c>
      <c r="D125" t="s" s="12">
        <v>21</v>
      </c>
      <c r="E125" t="s" s="32">
        <v>51</v>
      </c>
      <c r="F125" s="13"/>
      <c r="G125" s="45">
        <v>10.61</v>
      </c>
      <c r="H125" s="36">
        <v>0.12</v>
      </c>
      <c r="I125" s="13"/>
      <c r="J125" t="s" s="12">
        <v>763</v>
      </c>
      <c r="K125" t="s" s="12">
        <v>764</v>
      </c>
      <c r="L125" s="13"/>
      <c r="M125" s="13"/>
      <c r="N125" t="s" s="14">
        <v>721</v>
      </c>
      <c r="O125" t="s" s="14">
        <v>722</v>
      </c>
      <c r="P125" s="15">
        <v>40</v>
      </c>
      <c r="Q125" s="16">
        <v>587</v>
      </c>
      <c r="R125" t="str" s="13" cm="1">
        <f t="array" ref="R125">D125</f>
        <v>piece</v>
      </c>
      <c r="S125" s="17" cm="1">
        <f t="array" ref="S125">Q125/(260/P125)</f>
        <v>90.30769230769231</v>
      </c>
    </row>
    <row r="126" ht="13.55" customHeight="1">
      <c r="A126" t="s" s="12">
        <v>765</v>
      </c>
      <c r="B126" t="s" s="12">
        <v>766</v>
      </c>
      <c r="C126" t="s" s="12">
        <v>767</v>
      </c>
      <c r="D126" t="s" s="12">
        <v>21</v>
      </c>
      <c r="E126" t="s" s="12">
        <v>51</v>
      </c>
      <c r="F126" s="13"/>
      <c r="G126" s="37">
        <v>10.42</v>
      </c>
      <c r="H126" s="36">
        <v>0.1</v>
      </c>
      <c r="I126" s="13"/>
      <c r="J126" t="s" s="12">
        <v>768</v>
      </c>
      <c r="K126" t="s" s="12">
        <v>769</v>
      </c>
      <c r="L126" s="13"/>
      <c r="M126" s="13"/>
      <c r="N126" t="s" s="14">
        <v>715</v>
      </c>
      <c r="O126" t="s" s="14">
        <v>716</v>
      </c>
      <c r="P126" s="15">
        <v>40</v>
      </c>
      <c r="Q126" s="16">
        <v>256</v>
      </c>
      <c r="R126" t="str" s="13" cm="1">
        <f t="array" ref="R126">D126</f>
        <v>piece</v>
      </c>
      <c r="S126" s="17" cm="1">
        <f t="array" ref="S126">Q126/(260/P126)</f>
        <v>39.3846153846154</v>
      </c>
    </row>
    <row r="127" ht="13.55" customHeight="1">
      <c r="A127" t="s" s="12">
        <v>770</v>
      </c>
      <c r="B127" t="s" s="12">
        <v>771</v>
      </c>
      <c r="C127" t="s" s="12">
        <v>772</v>
      </c>
      <c r="D127" t="s" s="12">
        <v>21</v>
      </c>
      <c r="E127" t="s" s="12">
        <v>51</v>
      </c>
      <c r="F127" s="13"/>
      <c r="G127" s="37">
        <v>20.84</v>
      </c>
      <c r="H127" s="36">
        <v>0.023</v>
      </c>
      <c r="I127" s="13"/>
      <c r="J127" t="s" s="12">
        <v>773</v>
      </c>
      <c r="K127" s="13"/>
      <c r="L127" s="13"/>
      <c r="M127" s="13"/>
      <c r="N127" t="s" s="14">
        <v>56</v>
      </c>
      <c r="O127" t="s" s="12">
        <v>57</v>
      </c>
      <c r="P127" s="15">
        <v>70</v>
      </c>
      <c r="Q127" s="16">
        <v>76</v>
      </c>
      <c r="R127" t="str" s="13" cm="1">
        <f t="array" ref="R127">D127</f>
        <v>piece</v>
      </c>
      <c r="S127" s="17" cm="1">
        <f t="array" ref="S127">Q127/(260/P127)</f>
        <v>20.4615384615385</v>
      </c>
    </row>
    <row r="128" ht="13.55" customHeight="1">
      <c r="A128" t="s" s="12">
        <v>774</v>
      </c>
      <c r="B128" t="s" s="12">
        <v>775</v>
      </c>
      <c r="C128" t="s" s="12">
        <v>776</v>
      </c>
      <c r="D128" t="s" s="12">
        <v>21</v>
      </c>
      <c r="E128" t="s" s="12">
        <v>51</v>
      </c>
      <c r="F128" s="13"/>
      <c r="G128" s="37">
        <v>4.74</v>
      </c>
      <c r="H128" s="36">
        <v>0.014</v>
      </c>
      <c r="I128" s="13"/>
      <c r="J128" t="s" s="12">
        <v>777</v>
      </c>
      <c r="K128" t="s" s="12">
        <v>778</v>
      </c>
      <c r="L128" s="13"/>
      <c r="M128" s="13"/>
      <c r="N128" t="s" s="14">
        <v>715</v>
      </c>
      <c r="O128" t="s" s="14">
        <v>716</v>
      </c>
      <c r="P128" s="15">
        <v>40</v>
      </c>
      <c r="Q128" s="16">
        <v>1230</v>
      </c>
      <c r="R128" t="str" s="13" cm="1">
        <f t="array" ref="R128">D128</f>
        <v>piece</v>
      </c>
      <c r="S128" s="17" cm="1">
        <f t="array" ref="S128">Q128/(260/P128)</f>
        <v>189.230769230769</v>
      </c>
    </row>
    <row r="129" ht="45" customHeight="1">
      <c r="A129" t="s" s="12">
        <v>779</v>
      </c>
      <c r="B129" t="s" s="12">
        <v>780</v>
      </c>
      <c r="C129" t="s" s="12">
        <v>781</v>
      </c>
      <c r="D129" t="s" s="12">
        <v>21</v>
      </c>
      <c r="E129" t="s" s="12">
        <v>51</v>
      </c>
      <c r="F129" s="13"/>
      <c r="G129" s="37">
        <v>0.8100000000000001</v>
      </c>
      <c r="H129" s="36">
        <v>0.018</v>
      </c>
      <c r="I129" s="13"/>
      <c r="J129" t="s" s="11">
        <v>782</v>
      </c>
      <c r="K129" s="13"/>
      <c r="L129" s="13"/>
      <c r="M129" s="13"/>
      <c r="N129" t="s" s="14">
        <v>56</v>
      </c>
      <c r="O129" t="s" s="12">
        <v>57</v>
      </c>
      <c r="P129" s="15">
        <v>50</v>
      </c>
      <c r="Q129" s="16">
        <v>45606</v>
      </c>
      <c r="R129" t="str" s="13" cm="1">
        <f t="array" ref="R129">D129</f>
        <v>piece</v>
      </c>
      <c r="S129" s="17" cm="1">
        <f t="array" ref="S129">Q129/(260/P129)</f>
        <v>8770.384615384621</v>
      </c>
    </row>
    <row r="130" ht="45" customHeight="1">
      <c r="A130" t="s" s="12">
        <v>783</v>
      </c>
      <c r="B130" t="s" s="12">
        <v>784</v>
      </c>
      <c r="C130" t="s" s="12">
        <v>785</v>
      </c>
      <c r="D130" t="s" s="12">
        <v>21</v>
      </c>
      <c r="E130" t="s" s="12">
        <v>51</v>
      </c>
      <c r="F130" s="13"/>
      <c r="G130" s="37">
        <v>0.8100000000000001</v>
      </c>
      <c r="H130" s="36">
        <v>0.02</v>
      </c>
      <c r="I130" s="13"/>
      <c r="J130" t="s" s="11">
        <v>782</v>
      </c>
      <c r="K130" s="13"/>
      <c r="L130" s="13"/>
      <c r="M130" s="13"/>
      <c r="N130" t="s" s="14">
        <v>56</v>
      </c>
      <c r="O130" t="s" s="12">
        <v>57</v>
      </c>
      <c r="P130" s="15">
        <v>60</v>
      </c>
      <c r="Q130" s="16">
        <v>31000</v>
      </c>
      <c r="R130" t="str" s="13" cm="1">
        <f t="array" ref="R130">D130</f>
        <v>piece</v>
      </c>
      <c r="S130" s="17" cm="1">
        <f t="array" ref="S130">Q130/(260/P130)</f>
        <v>7153.846153846150</v>
      </c>
    </row>
    <row r="131" ht="13.55" customHeight="1">
      <c r="A131" t="s" s="12">
        <v>786</v>
      </c>
      <c r="B131" t="s" s="12">
        <v>787</v>
      </c>
      <c r="C131" t="s" s="12">
        <v>788</v>
      </c>
      <c r="D131" t="s" s="12">
        <v>21</v>
      </c>
      <c r="E131" t="s" s="12">
        <v>51</v>
      </c>
      <c r="F131" s="13"/>
      <c r="G131" s="37">
        <v>27.11</v>
      </c>
      <c r="H131" s="36">
        <v>0.026</v>
      </c>
      <c r="I131" s="13"/>
      <c r="J131" t="s" s="12">
        <v>789</v>
      </c>
      <c r="K131" s="13"/>
      <c r="L131" s="13"/>
      <c r="M131" s="13"/>
      <c r="N131" t="s" s="14">
        <v>215</v>
      </c>
      <c r="O131" t="s" s="14">
        <v>216</v>
      </c>
      <c r="P131" s="15">
        <v>40</v>
      </c>
      <c r="Q131" s="4"/>
      <c r="R131" t="str" s="13" cm="1">
        <f t="array" ref="R131">D131</f>
        <v>piece</v>
      </c>
      <c r="S131" s="17" cm="1">
        <f t="array" ref="S131">Q131/(260/P131)</f>
        <v>0</v>
      </c>
    </row>
    <row r="132" ht="13.55" customHeight="1">
      <c r="A132" t="s" s="12">
        <v>790</v>
      </c>
      <c r="B132" t="s" s="12">
        <v>791</v>
      </c>
      <c r="C132" t="s" s="12">
        <v>792</v>
      </c>
      <c r="D132" t="s" s="12">
        <v>21</v>
      </c>
      <c r="E132" t="s" s="12">
        <v>51</v>
      </c>
      <c r="F132" s="13"/>
      <c r="G132" s="37">
        <v>3.79</v>
      </c>
      <c r="H132" s="36">
        <v>0.016</v>
      </c>
      <c r="I132" s="13"/>
      <c r="J132" t="s" s="12">
        <v>777</v>
      </c>
      <c r="K132" t="s" s="12">
        <v>793</v>
      </c>
      <c r="L132" s="13"/>
      <c r="M132" s="13"/>
      <c r="N132" t="s" s="14">
        <v>715</v>
      </c>
      <c r="O132" t="s" s="14">
        <v>716</v>
      </c>
      <c r="P132" s="15">
        <v>40</v>
      </c>
      <c r="Q132" s="16">
        <v>1210</v>
      </c>
      <c r="R132" t="str" s="13" cm="1">
        <f t="array" ref="R132">D132</f>
        <v>piece</v>
      </c>
      <c r="S132" s="17" cm="1">
        <f t="array" ref="S132">Q132/(260/P132)</f>
        <v>186.153846153846</v>
      </c>
    </row>
    <row r="133" ht="13.55" customHeight="1">
      <c r="A133" t="s" s="12">
        <v>794</v>
      </c>
      <c r="B133" t="s" s="12">
        <v>795</v>
      </c>
      <c r="C133" t="s" s="12">
        <v>796</v>
      </c>
      <c r="D133" t="s" s="12">
        <v>21</v>
      </c>
      <c r="E133" t="s" s="12">
        <v>269</v>
      </c>
      <c r="F133" s="13"/>
      <c r="G133" s="37">
        <v>5.89</v>
      </c>
      <c r="H133" s="36">
        <v>0.002</v>
      </c>
      <c r="I133" s="13"/>
      <c r="J133" t="s" s="12">
        <v>796</v>
      </c>
      <c r="K133" t="s" s="12">
        <v>797</v>
      </c>
      <c r="L133" s="13"/>
      <c r="M133" s="13"/>
      <c r="N133" t="s" s="14">
        <v>56</v>
      </c>
      <c r="O133" t="s" s="12">
        <v>57</v>
      </c>
      <c r="P133" s="15">
        <v>45</v>
      </c>
      <c r="Q133" s="16">
        <v>1415</v>
      </c>
      <c r="R133" t="str" s="13" cm="1">
        <f t="array" ref="R133">D133</f>
        <v>piece</v>
      </c>
      <c r="S133" s="17" cm="1">
        <f t="array" ref="S133">Q133/(260/P133)</f>
        <v>244.903846153846</v>
      </c>
    </row>
    <row r="134" ht="13.55" customHeight="1">
      <c r="A134" t="s" s="12">
        <v>798</v>
      </c>
      <c r="B134" t="s" s="12">
        <v>799</v>
      </c>
      <c r="C134" t="s" s="12">
        <v>800</v>
      </c>
      <c r="D134" t="s" s="12">
        <v>21</v>
      </c>
      <c r="E134" t="s" s="12">
        <v>51</v>
      </c>
      <c r="F134" s="13"/>
      <c r="G134" s="37">
        <v>7.22</v>
      </c>
      <c r="H134" s="36">
        <v>0.035</v>
      </c>
      <c r="I134" s="13"/>
      <c r="J134" t="s" s="12">
        <v>45</v>
      </c>
      <c r="K134" t="s" s="12">
        <v>801</v>
      </c>
      <c r="L134" s="13"/>
      <c r="M134" s="13"/>
      <c r="N134" t="s" s="14">
        <v>56</v>
      </c>
      <c r="O134" t="s" s="12">
        <v>57</v>
      </c>
      <c r="P134" s="15">
        <v>50</v>
      </c>
      <c r="Q134" s="16">
        <v>5509</v>
      </c>
      <c r="R134" t="str" s="13" cm="1">
        <f t="array" ref="R134">D134</f>
        <v>piece</v>
      </c>
      <c r="S134" s="17" cm="1">
        <f t="array" ref="S134">Q134/(260/P134)</f>
        <v>1059.423076923080</v>
      </c>
    </row>
    <row r="135" ht="13.55" customHeight="1">
      <c r="A135" t="s" s="12">
        <v>802</v>
      </c>
      <c r="B135" t="s" s="12">
        <v>803</v>
      </c>
      <c r="C135" t="s" s="12">
        <v>804</v>
      </c>
      <c r="D135" t="s" s="12">
        <v>21</v>
      </c>
      <c r="E135" t="s" s="12">
        <v>269</v>
      </c>
      <c r="F135" s="13"/>
      <c r="G135" s="37">
        <v>0.74</v>
      </c>
      <c r="H135" s="36">
        <v>0.004</v>
      </c>
      <c r="I135" s="13"/>
      <c r="J135" t="s" s="12">
        <v>668</v>
      </c>
      <c r="K135" t="s" s="12">
        <v>805</v>
      </c>
      <c r="L135" s="13"/>
      <c r="M135" s="13"/>
      <c r="N135" t="s" s="14">
        <v>721</v>
      </c>
      <c r="O135" t="s" s="14">
        <v>722</v>
      </c>
      <c r="P135" s="15">
        <v>40</v>
      </c>
      <c r="Q135" s="16">
        <v>2500</v>
      </c>
      <c r="R135" t="str" s="13" cm="1">
        <f t="array" ref="R135">D135</f>
        <v>piece</v>
      </c>
      <c r="S135" s="17" cm="1">
        <f t="array" ref="S135">Q135/(260/P135)</f>
        <v>384.615384615385</v>
      </c>
    </row>
    <row r="136" ht="13.55" customHeight="1">
      <c r="A136" t="s" s="12">
        <v>806</v>
      </c>
      <c r="B136" t="s" s="12">
        <v>807</v>
      </c>
      <c r="C136" t="s" s="12">
        <v>808</v>
      </c>
      <c r="D136" t="s" s="12">
        <v>21</v>
      </c>
      <c r="E136" t="s" s="12">
        <v>51</v>
      </c>
      <c r="F136" s="13"/>
      <c r="G136" s="38">
        <v>0.44</v>
      </c>
      <c r="H136" s="36">
        <v>0.005</v>
      </c>
      <c r="I136" s="13"/>
      <c r="J136" t="s" s="12">
        <v>809</v>
      </c>
      <c r="K136" t="s" s="12">
        <v>810</v>
      </c>
      <c r="L136" s="13"/>
      <c r="M136" s="13"/>
      <c r="N136" t="s" s="14">
        <v>56</v>
      </c>
      <c r="O136" t="s" s="12">
        <v>57</v>
      </c>
      <c r="P136" s="15">
        <v>50</v>
      </c>
      <c r="Q136" s="16">
        <v>1500</v>
      </c>
      <c r="R136" t="str" s="13" cm="1">
        <f t="array" ref="R136">D136</f>
        <v>piece</v>
      </c>
      <c r="S136" s="17" cm="1">
        <f t="array" ref="S136">Q136/(260/P136)</f>
        <v>288.461538461538</v>
      </c>
    </row>
    <row r="137" ht="150" customHeight="1">
      <c r="A137" t="s" s="12">
        <v>811</v>
      </c>
      <c r="B137" t="s" s="12">
        <v>812</v>
      </c>
      <c r="C137" t="s" s="12">
        <v>813</v>
      </c>
      <c r="D137" t="s" s="12">
        <v>21</v>
      </c>
      <c r="E137" t="s" s="12">
        <v>51</v>
      </c>
      <c r="F137" s="39"/>
      <c r="G137" s="40">
        <v>0</v>
      </c>
      <c r="H137" s="41">
        <v>3.865</v>
      </c>
      <c r="I137" t="s" s="12">
        <v>814</v>
      </c>
      <c r="J137" t="s" s="11">
        <v>815</v>
      </c>
      <c r="K137" s="13"/>
      <c r="L137" s="13"/>
      <c r="M137" s="13"/>
      <c r="N137" t="s" s="14">
        <v>816</v>
      </c>
      <c r="O137" t="s" s="14">
        <v>817</v>
      </c>
      <c r="P137" s="15">
        <v>40</v>
      </c>
      <c r="Q137" s="4"/>
      <c r="R137" t="str" s="13" cm="1">
        <f t="array" ref="R137">D137</f>
        <v>piece</v>
      </c>
      <c r="S137" s="17" cm="1">
        <f t="array" ref="S137">Q137/(260/P137)</f>
        <v>0</v>
      </c>
    </row>
    <row r="138" ht="13.55" customHeight="1">
      <c r="A138" t="s" s="12">
        <v>818</v>
      </c>
      <c r="B138" t="s" s="12">
        <v>766</v>
      </c>
      <c r="C138" t="s" s="12">
        <v>767</v>
      </c>
      <c r="D138" t="s" s="12">
        <v>21</v>
      </c>
      <c r="E138" t="s" s="12">
        <v>51</v>
      </c>
      <c r="F138" s="13"/>
      <c r="G138" s="45">
        <v>9.470000000000001</v>
      </c>
      <c r="H138" s="36">
        <v>0.12</v>
      </c>
      <c r="I138" t="s" s="12">
        <v>814</v>
      </c>
      <c r="J138" t="s" s="12">
        <v>768</v>
      </c>
      <c r="K138" t="s" s="12">
        <v>769</v>
      </c>
      <c r="L138" s="13"/>
      <c r="M138" s="13"/>
      <c r="N138" t="s" s="14">
        <v>590</v>
      </c>
      <c r="O138" t="s" s="14">
        <v>591</v>
      </c>
      <c r="P138" s="15">
        <v>40</v>
      </c>
      <c r="Q138" s="16">
        <v>101</v>
      </c>
      <c r="R138" t="str" s="13" cm="1">
        <f t="array" ref="R138">D138</f>
        <v>piece</v>
      </c>
      <c r="S138" s="17" cm="1">
        <f t="array" ref="S138">Q138/(260/P138)</f>
        <v>15.5384615384615</v>
      </c>
    </row>
    <row r="139" ht="13.55" customHeight="1">
      <c r="A139" t="s" s="12">
        <v>819</v>
      </c>
      <c r="B139" t="s" s="12">
        <v>820</v>
      </c>
      <c r="C139" t="s" s="12">
        <v>821</v>
      </c>
      <c r="D139" t="s" s="12">
        <v>21</v>
      </c>
      <c r="E139" t="s" s="12">
        <v>51</v>
      </c>
      <c r="F139" s="13"/>
      <c r="G139" s="37">
        <v>3.98</v>
      </c>
      <c r="H139" s="36">
        <v>0.03</v>
      </c>
      <c r="I139" t="s" s="12">
        <v>814</v>
      </c>
      <c r="J139" t="s" s="12">
        <v>777</v>
      </c>
      <c r="K139" t="s" s="12">
        <v>778</v>
      </c>
      <c r="L139" s="13"/>
      <c r="M139" s="13"/>
      <c r="N139" t="s" s="14">
        <v>56</v>
      </c>
      <c r="O139" t="s" s="12">
        <v>57</v>
      </c>
      <c r="P139" s="15">
        <v>40</v>
      </c>
      <c r="Q139" s="16">
        <v>1245</v>
      </c>
      <c r="R139" t="str" s="13" cm="1">
        <f t="array" ref="R139">D139</f>
        <v>piece</v>
      </c>
      <c r="S139" s="17" cm="1">
        <f t="array" ref="S139">Q139/(260/P139)</f>
        <v>191.538461538462</v>
      </c>
    </row>
    <row r="140" ht="13.55" customHeight="1">
      <c r="A140" t="s" s="12">
        <v>822</v>
      </c>
      <c r="B140" t="s" s="12">
        <v>823</v>
      </c>
      <c r="C140" t="s" s="12">
        <v>824</v>
      </c>
      <c r="D140" t="s" s="12">
        <v>21</v>
      </c>
      <c r="E140" t="s" s="12">
        <v>51</v>
      </c>
      <c r="F140" s="13"/>
      <c r="G140" s="37">
        <v>2.84</v>
      </c>
      <c r="H140" s="36">
        <v>0.015</v>
      </c>
      <c r="I140" t="s" s="12">
        <v>814</v>
      </c>
      <c r="J140" t="s" s="12">
        <v>777</v>
      </c>
      <c r="K140" t="s" s="12">
        <v>793</v>
      </c>
      <c r="L140" s="13"/>
      <c r="M140" s="13"/>
      <c r="N140" t="s" s="14">
        <v>56</v>
      </c>
      <c r="O140" t="s" s="12">
        <v>57</v>
      </c>
      <c r="P140" s="15">
        <v>40</v>
      </c>
      <c r="Q140" s="16">
        <v>645</v>
      </c>
      <c r="R140" t="str" s="13" cm="1">
        <f t="array" ref="R140">D140</f>
        <v>piece</v>
      </c>
      <c r="S140" s="17" cm="1">
        <f t="array" ref="S140">Q140/(260/P140)</f>
        <v>99.2307692307692</v>
      </c>
    </row>
    <row r="141" ht="13.55" customHeight="1">
      <c r="A141" t="s" s="12">
        <v>825</v>
      </c>
      <c r="B141" t="s" s="12">
        <v>766</v>
      </c>
      <c r="C141" t="s" s="12">
        <v>767</v>
      </c>
      <c r="D141" t="s" s="12">
        <v>21</v>
      </c>
      <c r="E141" t="s" s="12">
        <v>51</v>
      </c>
      <c r="F141" s="13"/>
      <c r="G141" s="37">
        <v>12.01</v>
      </c>
      <c r="H141" s="36">
        <v>0.08</v>
      </c>
      <c r="I141" t="s" s="12">
        <v>826</v>
      </c>
      <c r="J141" t="s" s="12">
        <v>768</v>
      </c>
      <c r="K141" t="s" s="12">
        <v>769</v>
      </c>
      <c r="L141" s="13"/>
      <c r="M141" s="13"/>
      <c r="N141" t="s" s="14">
        <v>721</v>
      </c>
      <c r="O141" t="s" s="14">
        <v>722</v>
      </c>
      <c r="P141" s="15">
        <v>40</v>
      </c>
      <c r="Q141" s="16">
        <v>160</v>
      </c>
      <c r="R141" t="str" s="13" cm="1">
        <f t="array" ref="R141">D141</f>
        <v>piece</v>
      </c>
      <c r="S141" s="17" cm="1">
        <f t="array" ref="S141">Q141/(260/P141)</f>
        <v>24.6153846153846</v>
      </c>
    </row>
    <row r="142" ht="13.55" customHeight="1">
      <c r="A142" t="s" s="12">
        <v>827</v>
      </c>
      <c r="B142" t="s" s="12">
        <v>828</v>
      </c>
      <c r="C142" t="s" s="12">
        <v>829</v>
      </c>
      <c r="D142" t="s" s="12">
        <v>21</v>
      </c>
      <c r="E142" t="s" s="12">
        <v>51</v>
      </c>
      <c r="F142" s="13"/>
      <c r="G142" s="37">
        <v>4.34</v>
      </c>
      <c r="H142" s="36">
        <v>0.02</v>
      </c>
      <c r="I142" t="s" s="12">
        <v>826</v>
      </c>
      <c r="J142" t="s" s="12">
        <v>777</v>
      </c>
      <c r="K142" t="s" s="12">
        <v>778</v>
      </c>
      <c r="L142" s="13"/>
      <c r="M142" s="13"/>
      <c r="N142" t="s" s="14">
        <v>721</v>
      </c>
      <c r="O142" t="s" s="14">
        <v>722</v>
      </c>
      <c r="P142" s="15">
        <v>40</v>
      </c>
      <c r="Q142" s="16">
        <v>545</v>
      </c>
      <c r="R142" t="str" s="13" cm="1">
        <f t="array" ref="R142">D142</f>
        <v>piece</v>
      </c>
      <c r="S142" s="17" cm="1">
        <f t="array" ref="S142">Q142/(260/P142)</f>
        <v>83.8461538461538</v>
      </c>
    </row>
    <row r="143" ht="13.55" customHeight="1">
      <c r="A143" t="s" s="12">
        <v>830</v>
      </c>
      <c r="B143" t="s" s="12">
        <v>831</v>
      </c>
      <c r="C143" t="s" s="12">
        <v>832</v>
      </c>
      <c r="D143" t="s" s="12">
        <v>21</v>
      </c>
      <c r="E143" t="s" s="12">
        <v>51</v>
      </c>
      <c r="F143" s="13"/>
      <c r="G143" s="37">
        <v>3.79</v>
      </c>
      <c r="H143" s="36">
        <v>0.02</v>
      </c>
      <c r="I143" t="s" s="12">
        <v>826</v>
      </c>
      <c r="J143" t="s" s="12">
        <v>777</v>
      </c>
      <c r="K143" t="s" s="12">
        <v>793</v>
      </c>
      <c r="L143" s="13"/>
      <c r="M143" s="13"/>
      <c r="N143" t="s" s="14">
        <v>721</v>
      </c>
      <c r="O143" t="s" s="14">
        <v>722</v>
      </c>
      <c r="P143" s="15">
        <v>40</v>
      </c>
      <c r="Q143" s="16">
        <v>655</v>
      </c>
      <c r="R143" t="str" s="13" cm="1">
        <f t="array" ref="R143">D143</f>
        <v>piece</v>
      </c>
      <c r="S143" s="17" cm="1">
        <f t="array" ref="S143">Q143/(260/P143)</f>
        <v>100.769230769231</v>
      </c>
    </row>
    <row r="144" ht="45" customHeight="1">
      <c r="A144" t="s" s="12">
        <v>833</v>
      </c>
      <c r="B144" t="s" s="12">
        <v>834</v>
      </c>
      <c r="C144" t="s" s="12">
        <v>835</v>
      </c>
      <c r="D144" t="s" s="12">
        <v>21</v>
      </c>
      <c r="E144" t="s" s="12">
        <v>269</v>
      </c>
      <c r="F144" s="13"/>
      <c r="G144" s="37">
        <v>3.3</v>
      </c>
      <c r="H144" s="36">
        <v>0.04</v>
      </c>
      <c r="I144" t="s" s="12">
        <v>836</v>
      </c>
      <c r="J144" t="s" s="11">
        <v>511</v>
      </c>
      <c r="K144" s="13"/>
      <c r="L144" s="13"/>
      <c r="M144" s="13"/>
      <c r="N144" t="s" s="14">
        <v>133</v>
      </c>
      <c r="O144" t="s" s="14">
        <v>134</v>
      </c>
      <c r="P144" s="15">
        <v>40</v>
      </c>
      <c r="Q144" s="16">
        <v>3974</v>
      </c>
      <c r="R144" t="str" s="13" cm="1">
        <f t="array" ref="R144">D144</f>
        <v>piece</v>
      </c>
      <c r="S144" s="17" cm="1">
        <f t="array" ref="S144">Q144/(260/P144)</f>
        <v>611.384615384615</v>
      </c>
    </row>
    <row r="145" ht="60" customHeight="1">
      <c r="A145" t="s" s="12">
        <v>837</v>
      </c>
      <c r="B145" t="s" s="12">
        <v>838</v>
      </c>
      <c r="C145" t="s" s="12">
        <v>839</v>
      </c>
      <c r="D145" t="s" s="12">
        <v>21</v>
      </c>
      <c r="E145" t="s" s="12">
        <v>51</v>
      </c>
      <c r="F145" s="13"/>
      <c r="G145" s="38">
        <v>8.01</v>
      </c>
      <c r="H145" s="36">
        <v>0.055</v>
      </c>
      <c r="I145" t="s" s="12">
        <v>836</v>
      </c>
      <c r="J145" t="s" s="11">
        <v>691</v>
      </c>
      <c r="K145" t="s" s="12">
        <v>840</v>
      </c>
      <c r="L145" s="13"/>
      <c r="M145" s="13"/>
      <c r="N145" t="s" s="14">
        <v>133</v>
      </c>
      <c r="O145" t="s" s="14">
        <v>134</v>
      </c>
      <c r="P145" s="15">
        <v>55</v>
      </c>
      <c r="Q145" s="16">
        <v>86581</v>
      </c>
      <c r="R145" t="str" s="13" cm="1">
        <f t="array" ref="R145">D145</f>
        <v>piece</v>
      </c>
      <c r="S145" s="17" cm="1">
        <f t="array" ref="S145">Q145/(260/P145)</f>
        <v>18315.2115384615</v>
      </c>
    </row>
    <row r="146" ht="75" customHeight="1">
      <c r="A146" t="s" s="12">
        <v>841</v>
      </c>
      <c r="B146" t="s" s="12">
        <v>842</v>
      </c>
      <c r="C146" t="s" s="12">
        <v>843</v>
      </c>
      <c r="D146" t="s" s="12">
        <v>21</v>
      </c>
      <c r="E146" t="s" s="12">
        <v>51</v>
      </c>
      <c r="F146" s="39"/>
      <c r="G146" s="40">
        <v>-99</v>
      </c>
      <c r="H146" s="41">
        <v>0.154</v>
      </c>
      <c r="I146" t="s" s="12">
        <v>836</v>
      </c>
      <c r="J146" t="s" s="11">
        <v>844</v>
      </c>
      <c r="K146" s="13"/>
      <c r="L146" s="13"/>
      <c r="M146" s="13"/>
      <c r="N146" t="s" s="14">
        <v>56</v>
      </c>
      <c r="O146" t="s" s="12">
        <v>57</v>
      </c>
      <c r="P146" s="15">
        <v>40</v>
      </c>
      <c r="Q146" s="16">
        <v>560</v>
      </c>
      <c r="R146" t="str" s="13" cm="1">
        <f t="array" ref="R146">D146</f>
        <v>piece</v>
      </c>
      <c r="S146" s="17" cm="1">
        <f t="array" ref="S146">Q146/(260/P146)</f>
        <v>86.1538461538462</v>
      </c>
    </row>
    <row r="147" ht="135" customHeight="1">
      <c r="A147" t="s" s="12">
        <v>845</v>
      </c>
      <c r="B147" t="s" s="12">
        <v>846</v>
      </c>
      <c r="C147" t="s" s="12">
        <v>847</v>
      </c>
      <c r="D147" t="s" s="12">
        <v>21</v>
      </c>
      <c r="E147" t="s" s="12">
        <v>51</v>
      </c>
      <c r="F147" s="39"/>
      <c r="G147" s="40">
        <v>0</v>
      </c>
      <c r="H147" s="41">
        <v>0.732</v>
      </c>
      <c r="I147" t="s" s="12">
        <v>836</v>
      </c>
      <c r="J147" t="s" s="11">
        <v>848</v>
      </c>
      <c r="K147" s="13"/>
      <c r="L147" s="13"/>
      <c r="M147" s="13"/>
      <c r="N147" t="s" s="14">
        <v>133</v>
      </c>
      <c r="O147" t="s" s="14">
        <v>134</v>
      </c>
      <c r="P147" s="15">
        <v>40</v>
      </c>
      <c r="Q147" s="16">
        <v>168</v>
      </c>
      <c r="R147" t="str" s="13" cm="1">
        <f t="array" ref="R147">D147</f>
        <v>piece</v>
      </c>
      <c r="S147" s="17" cm="1">
        <f t="array" ref="S147">Q147/(260/P147)</f>
        <v>25.8461538461538</v>
      </c>
    </row>
    <row r="148" ht="30" customHeight="1">
      <c r="A148" t="s" s="12">
        <v>849</v>
      </c>
      <c r="B148" t="s" s="12">
        <v>850</v>
      </c>
      <c r="C148" t="s" s="12">
        <v>851</v>
      </c>
      <c r="D148" t="s" s="12">
        <v>21</v>
      </c>
      <c r="E148" t="s" s="12">
        <v>51</v>
      </c>
      <c r="F148" s="13"/>
      <c r="G148" s="45">
        <v>11.78</v>
      </c>
      <c r="H148" s="36">
        <v>0.6</v>
      </c>
      <c r="I148" t="s" s="12">
        <v>836</v>
      </c>
      <c r="J148" t="s" s="11">
        <v>852</v>
      </c>
      <c r="K148" s="13"/>
      <c r="L148" s="13"/>
      <c r="M148" s="13"/>
      <c r="N148" t="s" s="14">
        <v>590</v>
      </c>
      <c r="O148" t="s" s="14">
        <v>591</v>
      </c>
      <c r="P148" s="15">
        <v>40</v>
      </c>
      <c r="Q148" s="16">
        <v>109</v>
      </c>
      <c r="R148" t="str" s="13" cm="1">
        <f t="array" ref="R148">D148</f>
        <v>piece</v>
      </c>
      <c r="S148" s="17" cm="1">
        <f t="array" ref="S148">Q148/(260/P148)</f>
        <v>16.7692307692308</v>
      </c>
    </row>
    <row r="149" ht="45" customHeight="1">
      <c r="A149" t="s" s="12">
        <v>853</v>
      </c>
      <c r="B149" t="s" s="12">
        <v>854</v>
      </c>
      <c r="C149" t="s" s="12">
        <v>855</v>
      </c>
      <c r="D149" t="s" s="12">
        <v>21</v>
      </c>
      <c r="E149" t="s" s="12">
        <v>51</v>
      </c>
      <c r="F149" s="13"/>
      <c r="G149" s="37">
        <v>11.8</v>
      </c>
      <c r="H149" s="36">
        <v>0.11</v>
      </c>
      <c r="I149" t="s" s="12">
        <v>836</v>
      </c>
      <c r="J149" t="s" s="11">
        <v>145</v>
      </c>
      <c r="K149" t="s" s="12">
        <v>856</v>
      </c>
      <c r="L149" s="13"/>
      <c r="M149" s="13"/>
      <c r="N149" t="s" s="14">
        <v>133</v>
      </c>
      <c r="O149" t="s" s="14">
        <v>134</v>
      </c>
      <c r="P149" s="15">
        <v>40</v>
      </c>
      <c r="Q149" s="16">
        <v>3262</v>
      </c>
      <c r="R149" t="str" s="13" cm="1">
        <f t="array" ref="R149">D149</f>
        <v>piece</v>
      </c>
      <c r="S149" s="17" cm="1">
        <f t="array" ref="S149">Q149/(260/P149)</f>
        <v>501.846153846154</v>
      </c>
    </row>
    <row r="150" ht="45" customHeight="1">
      <c r="A150" t="s" s="12">
        <v>857</v>
      </c>
      <c r="B150" t="s" s="12">
        <v>858</v>
      </c>
      <c r="C150" t="s" s="12">
        <v>859</v>
      </c>
      <c r="D150" t="s" s="12">
        <v>21</v>
      </c>
      <c r="E150" t="s" s="12">
        <v>51</v>
      </c>
      <c r="F150" s="13"/>
      <c r="G150" s="37">
        <v>11.37</v>
      </c>
      <c r="H150" s="36">
        <v>0.09</v>
      </c>
      <c r="I150" t="s" s="12">
        <v>836</v>
      </c>
      <c r="J150" t="s" s="11">
        <v>145</v>
      </c>
      <c r="K150" t="s" s="12">
        <v>856</v>
      </c>
      <c r="L150" s="13"/>
      <c r="M150" s="13"/>
      <c r="N150" t="s" s="14">
        <v>133</v>
      </c>
      <c r="O150" t="s" s="14">
        <v>134</v>
      </c>
      <c r="P150" s="15">
        <v>40</v>
      </c>
      <c r="Q150" s="16">
        <v>21427</v>
      </c>
      <c r="R150" t="str" s="13" cm="1">
        <f t="array" ref="R150">D150</f>
        <v>piece</v>
      </c>
      <c r="S150" s="17" cm="1">
        <f t="array" ref="S150">Q150/(260/P150)</f>
        <v>3296.461538461540</v>
      </c>
    </row>
    <row r="151" ht="13.55" customHeight="1">
      <c r="A151" t="s" s="12">
        <v>860</v>
      </c>
      <c r="B151" t="s" s="12">
        <v>586</v>
      </c>
      <c r="C151" t="s" s="12">
        <v>587</v>
      </c>
      <c r="D151" t="s" s="12">
        <v>21</v>
      </c>
      <c r="E151" t="s" s="12">
        <v>51</v>
      </c>
      <c r="F151" s="13"/>
      <c r="G151" s="37">
        <v>9.890000000000001</v>
      </c>
      <c r="H151" s="36">
        <v>0.09</v>
      </c>
      <c r="I151" t="s" s="12">
        <v>836</v>
      </c>
      <c r="J151" t="s" s="12">
        <v>768</v>
      </c>
      <c r="K151" t="s" s="12">
        <v>861</v>
      </c>
      <c r="L151" s="13"/>
      <c r="M151" s="13"/>
      <c r="N151" t="s" s="14">
        <v>590</v>
      </c>
      <c r="O151" t="s" s="14">
        <v>591</v>
      </c>
      <c r="P151" s="15">
        <v>40</v>
      </c>
      <c r="Q151" s="16">
        <v>404</v>
      </c>
      <c r="R151" t="str" s="13" cm="1">
        <f t="array" ref="R151">D151</f>
        <v>piece</v>
      </c>
      <c r="S151" s="17" cm="1">
        <f t="array" ref="S151">Q151/(260/P151)</f>
        <v>62.1538461538462</v>
      </c>
    </row>
    <row r="152" ht="13.55" customHeight="1">
      <c r="A152" t="s" s="12">
        <v>862</v>
      </c>
      <c r="B152" t="s" s="12">
        <v>593</v>
      </c>
      <c r="C152" t="s" s="12">
        <v>594</v>
      </c>
      <c r="D152" t="s" s="12">
        <v>21</v>
      </c>
      <c r="E152" t="s" s="12">
        <v>51</v>
      </c>
      <c r="F152" s="13"/>
      <c r="G152" s="37">
        <v>10.42</v>
      </c>
      <c r="H152" s="36">
        <v>0.2</v>
      </c>
      <c r="I152" t="s" s="12">
        <v>836</v>
      </c>
      <c r="J152" t="s" s="12">
        <v>763</v>
      </c>
      <c r="K152" t="s" s="12">
        <v>863</v>
      </c>
      <c r="L152" s="13"/>
      <c r="M152" s="13"/>
      <c r="N152" t="s" s="14">
        <v>215</v>
      </c>
      <c r="O152" t="s" s="14">
        <v>216</v>
      </c>
      <c r="P152" s="15">
        <v>40</v>
      </c>
      <c r="Q152" s="16">
        <v>515</v>
      </c>
      <c r="R152" t="str" s="13" cm="1">
        <f t="array" ref="R152">D152</f>
        <v>piece</v>
      </c>
      <c r="S152" s="17" cm="1">
        <f t="array" ref="S152">Q152/(260/P152)</f>
        <v>79.2307692307692</v>
      </c>
    </row>
    <row r="153" ht="30" customHeight="1">
      <c r="A153" t="s" s="12">
        <v>864</v>
      </c>
      <c r="B153" t="s" s="12">
        <v>865</v>
      </c>
      <c r="C153" t="s" s="12">
        <v>866</v>
      </c>
      <c r="D153" t="s" s="12">
        <v>21</v>
      </c>
      <c r="E153" t="s" s="12">
        <v>51</v>
      </c>
      <c r="F153" s="13"/>
      <c r="G153" s="37">
        <v>0.25</v>
      </c>
      <c r="H153" s="36">
        <v>0.02</v>
      </c>
      <c r="I153" t="s" s="11">
        <v>867</v>
      </c>
      <c r="J153" t="s" s="12">
        <v>868</v>
      </c>
      <c r="K153" t="s" s="12">
        <v>869</v>
      </c>
      <c r="L153" s="13"/>
      <c r="M153" s="13"/>
      <c r="N153" t="s" s="14">
        <v>870</v>
      </c>
      <c r="O153" t="s" s="14">
        <v>871</v>
      </c>
      <c r="P153" s="15">
        <v>30</v>
      </c>
      <c r="Q153" s="16">
        <v>14136</v>
      </c>
      <c r="R153" t="str" s="13" cm="1">
        <f t="array" ref="R153">D153</f>
        <v>piece</v>
      </c>
      <c r="S153" s="17" cm="1">
        <f t="array" ref="S153">Q153/(260/P153)</f>
        <v>1631.076923076920</v>
      </c>
    </row>
    <row r="154" ht="60" customHeight="1">
      <c r="A154" t="s" s="12">
        <v>872</v>
      </c>
      <c r="B154" t="s" s="12">
        <v>873</v>
      </c>
      <c r="C154" t="s" s="12">
        <v>874</v>
      </c>
      <c r="D154" t="s" s="12">
        <v>21</v>
      </c>
      <c r="E154" t="s" s="12">
        <v>51</v>
      </c>
      <c r="F154" s="13"/>
      <c r="G154" s="37">
        <v>6.21</v>
      </c>
      <c r="H154" s="36">
        <v>0.15</v>
      </c>
      <c r="I154" t="s" s="11">
        <v>875</v>
      </c>
      <c r="J154" t="s" s="11">
        <v>490</v>
      </c>
      <c r="K154" t="s" s="12">
        <v>876</v>
      </c>
      <c r="L154" s="13"/>
      <c r="M154" s="13"/>
      <c r="N154" t="s" s="14">
        <v>215</v>
      </c>
      <c r="O154" t="s" s="14">
        <v>216</v>
      </c>
      <c r="P154" s="15">
        <v>40</v>
      </c>
      <c r="Q154" s="16">
        <v>17483</v>
      </c>
      <c r="R154" t="str" s="13" cm="1">
        <f t="array" ref="R154">D154</f>
        <v>piece</v>
      </c>
      <c r="S154" s="17" cm="1">
        <f t="array" ref="S154">Q154/(260/P154)</f>
        <v>2689.692307692310</v>
      </c>
    </row>
    <row r="155" ht="13.55" customHeight="1">
      <c r="A155" t="s" s="12">
        <v>877</v>
      </c>
      <c r="B155" t="s" s="12">
        <v>878</v>
      </c>
      <c r="C155" t="s" s="12">
        <v>879</v>
      </c>
      <c r="D155" t="s" s="12">
        <v>21</v>
      </c>
      <c r="E155" t="s" s="12">
        <v>269</v>
      </c>
      <c r="F155" s="13"/>
      <c r="G155" s="37">
        <v>0.68</v>
      </c>
      <c r="H155" s="36">
        <v>0.004</v>
      </c>
      <c r="I155" t="s" s="12">
        <v>836</v>
      </c>
      <c r="J155" t="s" s="12">
        <v>668</v>
      </c>
      <c r="K155" t="s" s="12">
        <v>880</v>
      </c>
      <c r="L155" s="13"/>
      <c r="M155" s="13"/>
      <c r="N155" t="s" s="14">
        <v>215</v>
      </c>
      <c r="O155" t="s" s="14">
        <v>216</v>
      </c>
      <c r="P155" s="15">
        <v>40</v>
      </c>
      <c r="Q155" s="16">
        <v>6580</v>
      </c>
      <c r="R155" t="str" s="13" cm="1">
        <f t="array" ref="R155">D155</f>
        <v>piece</v>
      </c>
      <c r="S155" s="17" cm="1">
        <f t="array" ref="S155">Q155/(260/P155)</f>
        <v>1012.307692307690</v>
      </c>
    </row>
    <row r="156" ht="30" customHeight="1">
      <c r="A156" t="s" s="12">
        <v>451</v>
      </c>
      <c r="B156" t="s" s="12">
        <v>452</v>
      </c>
      <c r="C156" t="s" s="12">
        <v>881</v>
      </c>
      <c r="D156" t="s" s="12">
        <v>21</v>
      </c>
      <c r="E156" t="s" s="12">
        <v>51</v>
      </c>
      <c r="F156" s="13"/>
      <c r="G156" s="37">
        <v>4.15</v>
      </c>
      <c r="H156" s="36">
        <v>0.016</v>
      </c>
      <c r="I156" s="13"/>
      <c r="J156" t="s" s="12">
        <v>456</v>
      </c>
      <c r="K156" t="s" s="12">
        <v>457</v>
      </c>
      <c r="L156" s="13"/>
      <c r="M156" t="s" s="11">
        <v>458</v>
      </c>
      <c r="N156" t="s" s="14">
        <v>169</v>
      </c>
      <c r="O156" t="s" s="14">
        <v>170</v>
      </c>
      <c r="P156" s="15">
        <v>40</v>
      </c>
      <c r="Q156" s="16">
        <v>6798.44</v>
      </c>
      <c r="R156" t="str" s="13" cm="1">
        <f t="array" ref="R156">D156</f>
        <v>piece</v>
      </c>
      <c r="S156" s="17" cm="1">
        <f t="array" ref="S156">Q156/(260/P156)</f>
        <v>1045.913846153850</v>
      </c>
    </row>
    <row r="157" ht="30" customHeight="1">
      <c r="A157" t="s" s="12">
        <v>459</v>
      </c>
      <c r="B157" t="s" s="12">
        <v>460</v>
      </c>
      <c r="C157" t="s" s="12">
        <v>882</v>
      </c>
      <c r="D157" t="s" s="12">
        <v>21</v>
      </c>
      <c r="E157" t="s" s="12">
        <v>51</v>
      </c>
      <c r="F157" s="13"/>
      <c r="G157" s="37">
        <v>4.32</v>
      </c>
      <c r="H157" s="36">
        <v>0.047</v>
      </c>
      <c r="I157" s="13"/>
      <c r="J157" t="s" s="12">
        <v>464</v>
      </c>
      <c r="K157" t="s" s="12">
        <v>465</v>
      </c>
      <c r="L157" s="13"/>
      <c r="M157" t="s" s="11">
        <v>466</v>
      </c>
      <c r="N157" t="s" s="14">
        <v>169</v>
      </c>
      <c r="O157" t="s" s="14">
        <v>170</v>
      </c>
      <c r="P157" s="15">
        <v>50</v>
      </c>
      <c r="Q157" s="16">
        <v>17101.9</v>
      </c>
      <c r="R157" t="str" s="13" cm="1">
        <f t="array" ref="R157">D157</f>
        <v>piece</v>
      </c>
      <c r="S157" s="17" cm="1">
        <f t="array" ref="S157">Q157/(260/P157)</f>
        <v>3288.826923076920</v>
      </c>
    </row>
    <row r="158" ht="13.55" customHeight="1">
      <c r="A158" t="s" s="12">
        <v>883</v>
      </c>
      <c r="B158" t="s" s="12">
        <v>884</v>
      </c>
      <c r="C158" t="s" s="12">
        <v>885</v>
      </c>
      <c r="D158" t="s" s="12">
        <v>21</v>
      </c>
      <c r="E158" t="s" s="12">
        <v>51</v>
      </c>
      <c r="F158" s="13"/>
      <c r="G158" s="37">
        <v>0.63</v>
      </c>
      <c r="H158" s="36">
        <v>0.002</v>
      </c>
      <c r="I158" s="13"/>
      <c r="J158" t="s" s="12">
        <v>45</v>
      </c>
      <c r="K158" t="s" s="12">
        <v>886</v>
      </c>
      <c r="L158" s="13"/>
      <c r="M158" s="13"/>
      <c r="N158" s="16">
        <v>999</v>
      </c>
      <c r="O158" t="s" s="14">
        <v>202</v>
      </c>
      <c r="P158" s="15">
        <v>10</v>
      </c>
      <c r="Q158" s="16">
        <v>10729</v>
      </c>
      <c r="R158" t="str" s="13" cm="1">
        <f t="array" ref="R158">D158</f>
        <v>piece</v>
      </c>
      <c r="S158" s="17" cm="1">
        <f t="array" ref="S158">Q158/(260/P158)</f>
        <v>412.653846153846</v>
      </c>
    </row>
    <row r="159" ht="60" customHeight="1">
      <c r="A159" t="s" s="12">
        <v>887</v>
      </c>
      <c r="B159" t="s" s="12">
        <v>888</v>
      </c>
      <c r="C159" t="s" s="12">
        <v>889</v>
      </c>
      <c r="D159" t="s" s="12">
        <v>21</v>
      </c>
      <c r="E159" t="s" s="12">
        <v>269</v>
      </c>
      <c r="F159" s="13"/>
      <c r="G159" s="37">
        <v>136.39</v>
      </c>
      <c r="H159" s="36">
        <v>1.96</v>
      </c>
      <c r="I159" s="13"/>
      <c r="J159" t="s" s="11">
        <v>292</v>
      </c>
      <c r="K159" t="s" s="12">
        <v>890</v>
      </c>
      <c r="L159" s="13"/>
      <c r="M159" s="13"/>
      <c r="N159" t="s" s="14">
        <v>294</v>
      </c>
      <c r="O159" t="s" s="14">
        <v>295</v>
      </c>
      <c r="P159" s="15">
        <v>50</v>
      </c>
      <c r="Q159" s="16">
        <v>301</v>
      </c>
      <c r="R159" t="str" s="13" cm="1">
        <f t="array" ref="R159">D159</f>
        <v>piece</v>
      </c>
      <c r="S159" s="17" cm="1">
        <f t="array" ref="S159">Q159/(260/P159)</f>
        <v>57.8846153846154</v>
      </c>
    </row>
    <row r="160" ht="13.55" customHeight="1">
      <c r="A160" t="s" s="12">
        <v>891</v>
      </c>
      <c r="B160" t="s" s="12">
        <v>892</v>
      </c>
      <c r="C160" t="s" s="12">
        <v>893</v>
      </c>
      <c r="D160" t="s" s="12">
        <v>21</v>
      </c>
      <c r="E160" t="s" s="12">
        <v>269</v>
      </c>
      <c r="F160" s="13"/>
      <c r="G160" s="37">
        <v>0.17</v>
      </c>
      <c r="H160" s="36">
        <v>0.001</v>
      </c>
      <c r="I160" s="13"/>
      <c r="J160" t="s" s="12">
        <v>45</v>
      </c>
      <c r="K160" t="s" s="12">
        <v>894</v>
      </c>
      <c r="L160" s="13"/>
      <c r="M160" s="13"/>
      <c r="N160" t="s" s="14">
        <v>169</v>
      </c>
      <c r="O160" t="s" s="14">
        <v>170</v>
      </c>
      <c r="P160" s="15">
        <v>70</v>
      </c>
      <c r="Q160" s="16">
        <v>30100</v>
      </c>
      <c r="R160" t="str" s="13" cm="1">
        <f t="array" ref="R160">D160</f>
        <v>piece</v>
      </c>
      <c r="S160" s="17" cm="1">
        <f t="array" ref="S160">Q160/(260/P160)</f>
        <v>8103.846153846150</v>
      </c>
    </row>
    <row r="161" ht="60" customHeight="1">
      <c r="A161" t="s" s="12">
        <v>895</v>
      </c>
      <c r="B161" t="s" s="12">
        <v>896</v>
      </c>
      <c r="C161" t="s" s="12">
        <v>897</v>
      </c>
      <c r="D161" t="s" s="12">
        <v>21</v>
      </c>
      <c r="E161" t="s" s="12">
        <v>269</v>
      </c>
      <c r="F161" s="13"/>
      <c r="G161" s="37">
        <v>151.54</v>
      </c>
      <c r="H161" s="36">
        <v>4.46</v>
      </c>
      <c r="I161" s="13"/>
      <c r="J161" t="s" s="11">
        <v>898</v>
      </c>
      <c r="K161" t="s" s="12">
        <v>890</v>
      </c>
      <c r="L161" s="13"/>
      <c r="M161" s="13"/>
      <c r="N161" t="s" s="14">
        <v>294</v>
      </c>
      <c r="O161" t="s" s="14">
        <v>295</v>
      </c>
      <c r="P161" s="15">
        <v>50</v>
      </c>
      <c r="Q161" s="16">
        <v>417</v>
      </c>
      <c r="R161" t="str" s="13" cm="1">
        <f t="array" ref="R161">D161</f>
        <v>piece</v>
      </c>
      <c r="S161" s="17" cm="1">
        <f t="array" ref="S161">Q161/(260/P161)</f>
        <v>80.19230769230769</v>
      </c>
    </row>
    <row r="162" ht="13.55" customHeight="1">
      <c r="A162" t="s" s="12">
        <v>899</v>
      </c>
      <c r="B162" t="s" s="12">
        <v>900</v>
      </c>
      <c r="C162" t="s" s="12">
        <v>901</v>
      </c>
      <c r="D162" t="s" s="12">
        <v>21</v>
      </c>
      <c r="E162" t="s" s="12">
        <v>269</v>
      </c>
      <c r="F162" s="13"/>
      <c r="G162" s="38">
        <v>0.47</v>
      </c>
      <c r="H162" s="36">
        <v>0.002</v>
      </c>
      <c r="I162" s="13"/>
      <c r="J162" t="s" s="12">
        <v>902</v>
      </c>
      <c r="K162" t="s" s="12">
        <v>903</v>
      </c>
      <c r="L162" s="13"/>
      <c r="M162" s="13"/>
      <c r="N162" t="s" s="14">
        <v>904</v>
      </c>
      <c r="O162" t="s" s="14">
        <v>905</v>
      </c>
      <c r="P162" s="15">
        <v>10</v>
      </c>
      <c r="Q162" s="16">
        <v>1000</v>
      </c>
      <c r="R162" t="str" s="13" cm="1">
        <f t="array" ref="R162">D162</f>
        <v>piece</v>
      </c>
      <c r="S162" s="17" cm="1">
        <f t="array" ref="S162">Q162/(260/P162)</f>
        <v>38.4615384615385</v>
      </c>
    </row>
    <row r="163" ht="13.55" customHeight="1">
      <c r="A163" t="s" s="12">
        <v>320</v>
      </c>
      <c r="B163" t="s" s="12">
        <v>321</v>
      </c>
      <c r="C163" t="s" s="12">
        <v>906</v>
      </c>
      <c r="D163" t="s" s="12">
        <v>21</v>
      </c>
      <c r="E163" t="s" s="12">
        <v>269</v>
      </c>
      <c r="F163" s="39"/>
      <c r="G163" s="40">
        <v>-99</v>
      </c>
      <c r="H163" s="41">
        <v>0.001</v>
      </c>
      <c r="I163" s="13"/>
      <c r="J163" t="s" s="12">
        <v>907</v>
      </c>
      <c r="K163" t="s" s="12">
        <v>325</v>
      </c>
      <c r="L163" s="13"/>
      <c r="M163" s="13"/>
      <c r="N163" s="16">
        <v>999</v>
      </c>
      <c r="O163" t="s" s="14">
        <v>202</v>
      </c>
      <c r="P163" s="15">
        <v>25</v>
      </c>
      <c r="Q163" s="4"/>
      <c r="R163" t="str" s="13" cm="1">
        <f t="array" ref="R163">D163</f>
        <v>piece</v>
      </c>
      <c r="S163" s="17" cm="1">
        <f t="array" ref="S163">Q163/(260/P163)</f>
        <v>0</v>
      </c>
    </row>
    <row r="164" ht="13.55" customHeight="1">
      <c r="A164" t="s" s="12">
        <v>908</v>
      </c>
      <c r="B164" t="s" s="12">
        <v>909</v>
      </c>
      <c r="C164" t="s" s="12">
        <v>910</v>
      </c>
      <c r="D164" t="s" s="12">
        <v>21</v>
      </c>
      <c r="E164" t="s" s="12">
        <v>269</v>
      </c>
      <c r="F164" s="13"/>
      <c r="G164" s="45">
        <v>13.73</v>
      </c>
      <c r="H164" s="36">
        <v>0.011</v>
      </c>
      <c r="I164" s="13"/>
      <c r="J164" t="s" s="12">
        <v>911</v>
      </c>
      <c r="K164" t="s" s="12">
        <v>912</v>
      </c>
      <c r="L164" s="13"/>
      <c r="M164" s="13"/>
      <c r="N164" t="s" s="14">
        <v>169</v>
      </c>
      <c r="O164" t="s" s="14">
        <v>170</v>
      </c>
      <c r="P164" s="15">
        <v>40</v>
      </c>
      <c r="Q164" s="16">
        <v>269</v>
      </c>
      <c r="R164" t="str" s="13" cm="1">
        <f t="array" ref="R164">D164</f>
        <v>piece</v>
      </c>
      <c r="S164" s="17" cm="1">
        <f t="array" ref="S164">Q164/(260/P164)</f>
        <v>41.3846153846154</v>
      </c>
    </row>
    <row r="165" ht="45" customHeight="1">
      <c r="A165" t="s" s="12">
        <v>913</v>
      </c>
      <c r="B165" t="s" s="12">
        <v>914</v>
      </c>
      <c r="C165" t="s" s="12">
        <v>915</v>
      </c>
      <c r="D165" t="s" s="12">
        <v>21</v>
      </c>
      <c r="E165" t="s" s="12">
        <v>51</v>
      </c>
      <c r="F165" s="13"/>
      <c r="G165" s="37">
        <v>4614.47</v>
      </c>
      <c r="H165" s="36">
        <v>186</v>
      </c>
      <c r="I165" s="13"/>
      <c r="J165" t="s" s="11">
        <v>916</v>
      </c>
      <c r="K165" t="s" s="12">
        <v>917</v>
      </c>
      <c r="L165" s="13"/>
      <c r="M165" s="13"/>
      <c r="N165" t="s" s="14">
        <v>279</v>
      </c>
      <c r="O165" t="s" s="14">
        <v>280</v>
      </c>
      <c r="P165" s="15">
        <v>80</v>
      </c>
      <c r="Q165" s="16">
        <v>10</v>
      </c>
      <c r="R165" t="str" s="13" cm="1">
        <f t="array" ref="R165">D165</f>
        <v>piece</v>
      </c>
      <c r="S165" s="17" cm="1">
        <f t="array" ref="S165">Q165/(260/P165)</f>
        <v>3.07692307692308</v>
      </c>
    </row>
    <row r="166" ht="13.55" customHeight="1">
      <c r="A166" t="s" s="12">
        <v>918</v>
      </c>
      <c r="B166" t="s" s="12">
        <v>919</v>
      </c>
      <c r="C166" t="s" s="12">
        <v>920</v>
      </c>
      <c r="D166" t="s" s="12">
        <v>21</v>
      </c>
      <c r="E166" t="s" s="12">
        <v>51</v>
      </c>
      <c r="F166" s="13"/>
      <c r="G166" s="37">
        <v>45.27</v>
      </c>
      <c r="H166" s="36">
        <v>0.2</v>
      </c>
      <c r="I166" s="13"/>
      <c r="J166" t="s" s="12">
        <v>921</v>
      </c>
      <c r="K166" t="s" s="12">
        <v>922</v>
      </c>
      <c r="L166" s="13"/>
      <c r="M166" s="13"/>
      <c r="N166" t="s" s="14">
        <v>169</v>
      </c>
      <c r="O166" t="s" s="14">
        <v>170</v>
      </c>
      <c r="P166" s="15">
        <v>50</v>
      </c>
      <c r="Q166" s="16">
        <v>1232</v>
      </c>
      <c r="R166" t="str" s="13" cm="1">
        <f t="array" ref="R166">D166</f>
        <v>piece</v>
      </c>
      <c r="S166" s="17" cm="1">
        <f t="array" ref="S166">Q166/(260/P166)</f>
        <v>236.923076923077</v>
      </c>
    </row>
    <row r="167" ht="13.55" customHeight="1">
      <c r="A167" t="s" s="12">
        <v>923</v>
      </c>
      <c r="B167" t="s" s="12">
        <v>924</v>
      </c>
      <c r="C167" t="s" s="12">
        <v>925</v>
      </c>
      <c r="D167" t="s" s="12">
        <v>21</v>
      </c>
      <c r="E167" t="s" s="12">
        <v>51</v>
      </c>
      <c r="F167" s="13"/>
      <c r="G167" s="37">
        <v>66.59999999999999</v>
      </c>
      <c r="H167" s="36">
        <v>0.222</v>
      </c>
      <c r="I167" s="13"/>
      <c r="J167" t="s" s="12">
        <v>921</v>
      </c>
      <c r="K167" t="s" s="12">
        <v>926</v>
      </c>
      <c r="L167" s="13"/>
      <c r="M167" s="13"/>
      <c r="N167" t="s" s="14">
        <v>169</v>
      </c>
      <c r="O167" t="s" s="47">
        <v>170</v>
      </c>
      <c r="P167" s="15">
        <v>50</v>
      </c>
      <c r="Q167" s="16">
        <v>139</v>
      </c>
      <c r="R167" t="str" s="13" cm="1">
        <f t="array" ref="R167">D167</f>
        <v>piece</v>
      </c>
      <c r="S167" s="17" cm="1">
        <f t="array" ref="S167">Q167/(260/P167)</f>
        <v>26.7307692307692</v>
      </c>
    </row>
    <row r="168" ht="13.55" customHeight="1">
      <c r="A168" t="s" s="12">
        <v>927</v>
      </c>
      <c r="B168" t="s" s="12">
        <v>928</v>
      </c>
      <c r="C168" t="s" s="12">
        <v>929</v>
      </c>
      <c r="D168" t="s" s="12">
        <v>21</v>
      </c>
      <c r="E168" t="s" s="12">
        <v>51</v>
      </c>
      <c r="F168" s="13"/>
      <c r="G168" s="37">
        <v>139.23</v>
      </c>
      <c r="H168" s="36">
        <v>0.35</v>
      </c>
      <c r="I168" s="13"/>
      <c r="J168" t="s" s="12">
        <v>921</v>
      </c>
      <c r="K168" t="s" s="12">
        <v>930</v>
      </c>
      <c r="L168" s="13"/>
      <c r="M168" s="13"/>
      <c r="N168" t="s" s="48">
        <v>931</v>
      </c>
      <c r="O168" t="s" s="49">
        <v>932</v>
      </c>
      <c r="P168" s="50">
        <v>50</v>
      </c>
      <c r="Q168" s="16">
        <v>85</v>
      </c>
      <c r="R168" t="str" s="13" cm="1">
        <f t="array" ref="R168">D168</f>
        <v>piece</v>
      </c>
      <c r="S168" s="17" cm="1">
        <f t="array" ref="S168">Q168/(260/P168)</f>
        <v>16.3461538461538</v>
      </c>
    </row>
    <row r="169" ht="13.55" customHeight="1">
      <c r="A169" t="s" s="12">
        <v>933</v>
      </c>
      <c r="B169" t="s" s="12">
        <v>327</v>
      </c>
      <c r="C169" t="s" s="12">
        <v>328</v>
      </c>
      <c r="D169" t="s" s="12">
        <v>21</v>
      </c>
      <c r="E169" t="s" s="12">
        <v>269</v>
      </c>
      <c r="F169" s="13"/>
      <c r="G169" s="37">
        <v>125.97</v>
      </c>
      <c r="H169" s="36">
        <v>1.13</v>
      </c>
      <c r="I169" s="13"/>
      <c r="J169" t="s" s="12">
        <v>934</v>
      </c>
      <c r="K169" t="s" s="12">
        <v>935</v>
      </c>
      <c r="L169" s="13"/>
      <c r="M169" s="13"/>
      <c r="N169" t="s" s="14">
        <v>279</v>
      </c>
      <c r="O169" t="s" s="51">
        <v>280</v>
      </c>
      <c r="P169" s="15">
        <v>50</v>
      </c>
      <c r="Q169" s="16">
        <v>70</v>
      </c>
      <c r="R169" t="str" s="13" cm="1">
        <f t="array" ref="R169">D169</f>
        <v>piece</v>
      </c>
      <c r="S169" s="17" cm="1">
        <f t="array" ref="S169">Q169/(260/P169)</f>
        <v>13.4615384615385</v>
      </c>
    </row>
    <row r="170" ht="13.55" customHeight="1">
      <c r="A170" t="s" s="12">
        <v>936</v>
      </c>
      <c r="B170" t="s" s="12">
        <v>333</v>
      </c>
      <c r="C170" t="s" s="12">
        <v>334</v>
      </c>
      <c r="D170" t="s" s="12">
        <v>21</v>
      </c>
      <c r="E170" t="s" s="12">
        <v>269</v>
      </c>
      <c r="F170" s="13"/>
      <c r="G170" s="37">
        <v>178.06</v>
      </c>
      <c r="H170" s="36">
        <v>0.82</v>
      </c>
      <c r="I170" s="13"/>
      <c r="J170" t="s" s="12">
        <v>937</v>
      </c>
      <c r="K170" t="s" s="12">
        <v>938</v>
      </c>
      <c r="L170" s="13"/>
      <c r="M170" s="13"/>
      <c r="N170" t="s" s="14">
        <v>279</v>
      </c>
      <c r="O170" t="s" s="14">
        <v>280</v>
      </c>
      <c r="P170" s="15">
        <v>60</v>
      </c>
      <c r="Q170" s="16">
        <v>42</v>
      </c>
      <c r="R170" t="str" s="13" cm="1">
        <f t="array" ref="R170">D170</f>
        <v>piece</v>
      </c>
      <c r="S170" s="17" cm="1">
        <f t="array" ref="S170">Q170/(260/P170)</f>
        <v>9.69230769230769</v>
      </c>
    </row>
    <row r="171" ht="13.55" customHeight="1">
      <c r="A171" t="s" s="12">
        <v>939</v>
      </c>
      <c r="B171" t="s" s="12">
        <v>940</v>
      </c>
      <c r="C171" t="s" s="12">
        <v>940</v>
      </c>
      <c r="D171" t="s" s="12">
        <v>21</v>
      </c>
      <c r="E171" t="s" s="12">
        <v>269</v>
      </c>
      <c r="F171" s="13"/>
      <c r="G171" s="37">
        <v>136.05</v>
      </c>
      <c r="H171" s="36">
        <v>0.073</v>
      </c>
      <c r="I171" s="13"/>
      <c r="J171" t="s" s="12">
        <v>940</v>
      </c>
      <c r="K171" s="13"/>
      <c r="L171" s="13"/>
      <c r="M171" s="13"/>
      <c r="N171" t="s" s="14">
        <v>941</v>
      </c>
      <c r="O171" t="s" s="14">
        <v>942</v>
      </c>
      <c r="P171" s="15">
        <v>15</v>
      </c>
      <c r="Q171" s="16">
        <v>158</v>
      </c>
      <c r="R171" t="str" s="13" cm="1">
        <f t="array" ref="R171">D171</f>
        <v>piece</v>
      </c>
      <c r="S171" s="17" cm="1">
        <f t="array" ref="S171">Q171/(260/P171)</f>
        <v>9.11538461538462</v>
      </c>
    </row>
    <row r="172" ht="30" customHeight="1">
      <c r="A172" t="s" s="12">
        <v>943</v>
      </c>
      <c r="B172" t="s" s="12">
        <v>944</v>
      </c>
      <c r="C172" t="s" s="12">
        <v>945</v>
      </c>
      <c r="D172" t="s" s="12">
        <v>21</v>
      </c>
      <c r="E172" t="s" s="12">
        <v>51</v>
      </c>
      <c r="F172" s="13"/>
      <c r="G172" s="37">
        <v>230.75</v>
      </c>
      <c r="H172" s="36">
        <v>5.22</v>
      </c>
      <c r="I172" s="13"/>
      <c r="J172" t="s" s="12">
        <v>45</v>
      </c>
      <c r="K172" t="s" s="12">
        <v>946</v>
      </c>
      <c r="L172" s="13"/>
      <c r="M172" t="s" s="11">
        <v>947</v>
      </c>
      <c r="N172" t="s" s="14">
        <v>941</v>
      </c>
      <c r="O172" t="s" s="14">
        <v>942</v>
      </c>
      <c r="P172" s="15">
        <v>20</v>
      </c>
      <c r="Q172" s="16">
        <v>224</v>
      </c>
      <c r="R172" t="str" s="13" cm="1">
        <f t="array" ref="R172">D172</f>
        <v>piece</v>
      </c>
      <c r="S172" s="17" cm="1">
        <f t="array" ref="S172">Q172/(260/P172)</f>
        <v>17.2307692307692</v>
      </c>
    </row>
    <row r="173" ht="13.55" customHeight="1">
      <c r="A173" t="s" s="12">
        <v>948</v>
      </c>
      <c r="B173" t="s" s="12">
        <v>949</v>
      </c>
      <c r="C173" t="s" s="12">
        <v>950</v>
      </c>
      <c r="D173" t="s" s="12">
        <v>21</v>
      </c>
      <c r="E173" t="s" s="12">
        <v>51</v>
      </c>
      <c r="F173" s="13"/>
      <c r="G173" s="37">
        <v>2.13</v>
      </c>
      <c r="H173" s="36">
        <v>0.01</v>
      </c>
      <c r="I173" s="13"/>
      <c r="J173" t="s" s="12">
        <v>951</v>
      </c>
      <c r="K173" s="13"/>
      <c r="L173" s="13"/>
      <c r="M173" s="13"/>
      <c r="N173" t="s" s="14">
        <v>941</v>
      </c>
      <c r="O173" t="s" s="14">
        <v>942</v>
      </c>
      <c r="P173" s="15">
        <v>40</v>
      </c>
      <c r="Q173" s="16">
        <v>33215</v>
      </c>
      <c r="R173" t="str" s="13" cm="1">
        <f t="array" ref="R173">D173</f>
        <v>piece</v>
      </c>
      <c r="S173" s="17" cm="1">
        <f t="array" ref="S173">Q173/(260/P173)</f>
        <v>5110</v>
      </c>
    </row>
    <row r="174" ht="13.55" customHeight="1">
      <c r="A174" t="s" s="12">
        <v>952</v>
      </c>
      <c r="B174" t="s" s="12">
        <v>949</v>
      </c>
      <c r="C174" t="s" s="12">
        <v>950</v>
      </c>
      <c r="D174" t="s" s="12">
        <v>21</v>
      </c>
      <c r="E174" t="s" s="12">
        <v>51</v>
      </c>
      <c r="F174" s="13"/>
      <c r="G174" s="37">
        <v>19.96</v>
      </c>
      <c r="H174" s="36">
        <v>0.033</v>
      </c>
      <c r="I174" s="13"/>
      <c r="J174" t="s" s="12">
        <v>953</v>
      </c>
      <c r="K174" s="13"/>
      <c r="L174" s="13"/>
      <c r="M174" s="13"/>
      <c r="N174" t="s" s="14">
        <v>941</v>
      </c>
      <c r="O174" t="s" s="14">
        <v>942</v>
      </c>
      <c r="P174" s="15">
        <v>60</v>
      </c>
      <c r="Q174" s="16">
        <v>1800</v>
      </c>
      <c r="R174" t="str" s="13" cm="1">
        <f t="array" ref="R174">D174</f>
        <v>piece</v>
      </c>
      <c r="S174" s="17" cm="1">
        <f t="array" ref="S174">Q174/(260/P174)</f>
        <v>415.384615384615</v>
      </c>
    </row>
    <row r="175" ht="13.55" customHeight="1">
      <c r="A175" t="s" s="12">
        <v>954</v>
      </c>
      <c r="B175" t="s" s="12">
        <v>955</v>
      </c>
      <c r="C175" t="s" s="12">
        <v>956</v>
      </c>
      <c r="D175" t="s" s="12">
        <v>21</v>
      </c>
      <c r="E175" t="s" s="12">
        <v>51</v>
      </c>
      <c r="F175" s="13"/>
      <c r="G175" s="37">
        <v>4.4</v>
      </c>
      <c r="H175" s="36">
        <v>0.04</v>
      </c>
      <c r="I175" s="13"/>
      <c r="J175" t="s" s="12">
        <v>951</v>
      </c>
      <c r="K175" t="s" s="12">
        <v>957</v>
      </c>
      <c r="L175" s="13"/>
      <c r="M175" s="13"/>
      <c r="N175" t="s" s="14">
        <v>958</v>
      </c>
      <c r="O175" t="s" s="14">
        <v>959</v>
      </c>
      <c r="P175" s="15">
        <v>25</v>
      </c>
      <c r="Q175" s="16">
        <v>270</v>
      </c>
      <c r="R175" t="str" s="13" cm="1">
        <f t="array" ref="R175">D175</f>
        <v>piece</v>
      </c>
      <c r="S175" s="17" cm="1">
        <f t="array" ref="S175">Q175/(260/P175)</f>
        <v>25.9615384615385</v>
      </c>
    </row>
    <row r="176" ht="13.55" customHeight="1">
      <c r="A176" t="s" s="12">
        <v>960</v>
      </c>
      <c r="B176" t="s" s="12">
        <v>961</v>
      </c>
      <c r="C176" t="s" s="12">
        <v>962</v>
      </c>
      <c r="D176" t="s" s="12">
        <v>21</v>
      </c>
      <c r="E176" t="s" s="12">
        <v>51</v>
      </c>
      <c r="F176" s="13"/>
      <c r="G176" s="37">
        <v>5.14</v>
      </c>
      <c r="H176" s="36">
        <v>0.046</v>
      </c>
      <c r="I176" s="13"/>
      <c r="J176" t="s" s="12">
        <v>951</v>
      </c>
      <c r="K176" t="s" s="12">
        <v>963</v>
      </c>
      <c r="L176" s="13"/>
      <c r="M176" s="13"/>
      <c r="N176" t="s" s="14">
        <v>941</v>
      </c>
      <c r="O176" t="s" s="14">
        <v>942</v>
      </c>
      <c r="P176" s="15">
        <v>40</v>
      </c>
      <c r="Q176" s="16">
        <v>150</v>
      </c>
      <c r="R176" t="str" s="13" cm="1">
        <f t="array" ref="R176">D176</f>
        <v>piece</v>
      </c>
      <c r="S176" s="17" cm="1">
        <f t="array" ref="S176">Q176/(260/P176)</f>
        <v>23.0769230769231</v>
      </c>
    </row>
    <row r="177" ht="30" customHeight="1">
      <c r="A177" t="s" s="12">
        <v>451</v>
      </c>
      <c r="B177" t="s" s="12">
        <v>452</v>
      </c>
      <c r="C177" t="s" s="12">
        <v>881</v>
      </c>
      <c r="D177" t="s" s="12">
        <v>21</v>
      </c>
      <c r="E177" t="s" s="12">
        <v>51</v>
      </c>
      <c r="F177" s="13"/>
      <c r="G177" s="37">
        <v>4.15</v>
      </c>
      <c r="H177" s="36">
        <v>0.016</v>
      </c>
      <c r="I177" s="13"/>
      <c r="J177" t="s" s="12">
        <v>456</v>
      </c>
      <c r="K177" t="s" s="12">
        <v>457</v>
      </c>
      <c r="L177" s="13"/>
      <c r="M177" t="s" s="11">
        <v>458</v>
      </c>
      <c r="N177" t="s" s="14">
        <v>169</v>
      </c>
      <c r="O177" t="s" s="14">
        <v>170</v>
      </c>
      <c r="P177" s="15">
        <v>40</v>
      </c>
      <c r="Q177" s="16">
        <v>6798.44</v>
      </c>
      <c r="R177" t="str" s="13" cm="1">
        <f t="array" ref="R177">D177</f>
        <v>piece</v>
      </c>
      <c r="S177" s="17" cm="1">
        <f t="array" ref="S177">Q177/(260/P177)</f>
        <v>1045.913846153850</v>
      </c>
    </row>
    <row r="178" ht="30" customHeight="1">
      <c r="A178" t="s" s="12">
        <v>459</v>
      </c>
      <c r="B178" t="s" s="12">
        <v>460</v>
      </c>
      <c r="C178" t="s" s="12">
        <v>882</v>
      </c>
      <c r="D178" t="s" s="12">
        <v>21</v>
      </c>
      <c r="E178" t="s" s="12">
        <v>51</v>
      </c>
      <c r="F178" s="13"/>
      <c r="G178" s="37">
        <v>4.32</v>
      </c>
      <c r="H178" s="36">
        <v>0.047</v>
      </c>
      <c r="I178" s="13"/>
      <c r="J178" t="s" s="12">
        <v>464</v>
      </c>
      <c r="K178" t="s" s="12">
        <v>465</v>
      </c>
      <c r="L178" s="13"/>
      <c r="M178" t="s" s="11">
        <v>466</v>
      </c>
      <c r="N178" t="s" s="14">
        <v>169</v>
      </c>
      <c r="O178" t="s" s="14">
        <v>170</v>
      </c>
      <c r="P178" s="15">
        <v>50</v>
      </c>
      <c r="Q178" s="16">
        <v>17101.9</v>
      </c>
      <c r="R178" t="str" s="13" cm="1">
        <f t="array" ref="R178">D178</f>
        <v>piece</v>
      </c>
      <c r="S178" s="17" cm="1">
        <f t="array" ref="S178">Q178/(260/P178)</f>
        <v>3288.826923076920</v>
      </c>
    </row>
    <row r="179" ht="13.55" customHeight="1">
      <c r="A179" t="s" s="12">
        <v>964</v>
      </c>
      <c r="B179" t="s" s="12">
        <v>965</v>
      </c>
      <c r="C179" t="s" s="12">
        <v>966</v>
      </c>
      <c r="D179" t="s" s="12">
        <v>21</v>
      </c>
      <c r="E179" t="s" s="12">
        <v>269</v>
      </c>
      <c r="F179" s="13"/>
      <c r="G179" s="37">
        <v>105.51</v>
      </c>
      <c r="H179" s="36">
        <v>0.09</v>
      </c>
      <c r="I179" s="13"/>
      <c r="J179" t="s" s="12">
        <v>967</v>
      </c>
      <c r="K179" s="13"/>
      <c r="L179" s="13"/>
      <c r="M179" s="13"/>
      <c r="N179" s="16">
        <v>999</v>
      </c>
      <c r="O179" t="s" s="14">
        <v>202</v>
      </c>
      <c r="P179" s="15">
        <v>50</v>
      </c>
      <c r="Q179" s="16">
        <v>1158</v>
      </c>
      <c r="R179" t="str" s="13" cm="1">
        <f t="array" ref="R179">D179</f>
        <v>piece</v>
      </c>
      <c r="S179" s="17" cm="1">
        <f t="array" ref="S179">Q179/(260/P179)</f>
        <v>222.692307692308</v>
      </c>
    </row>
    <row r="180" ht="13.55" customHeight="1">
      <c r="A180" t="s" s="12">
        <v>968</v>
      </c>
      <c r="B180" t="s" s="12">
        <v>969</v>
      </c>
      <c r="C180" t="s" s="12">
        <v>970</v>
      </c>
      <c r="D180" t="s" s="12">
        <v>21</v>
      </c>
      <c r="E180" t="s" s="12">
        <v>51</v>
      </c>
      <c r="F180" s="13"/>
      <c r="G180" s="37">
        <v>3.16</v>
      </c>
      <c r="H180" s="36">
        <v>0.012</v>
      </c>
      <c r="I180" s="13"/>
      <c r="J180" t="s" s="12">
        <v>971</v>
      </c>
      <c r="K180" s="13"/>
      <c r="L180" s="13"/>
      <c r="M180" s="13"/>
      <c r="N180" t="s" s="14">
        <v>37</v>
      </c>
      <c r="O180" t="s" s="14">
        <v>38</v>
      </c>
      <c r="P180" s="15">
        <v>40</v>
      </c>
      <c r="Q180" s="16">
        <v>68215</v>
      </c>
      <c r="R180" t="str" s="13" cm="1">
        <f t="array" ref="R180">D180</f>
        <v>piece</v>
      </c>
      <c r="S180" s="17" cm="1">
        <f t="array" ref="S180">Q180/(260/P180)</f>
        <v>10494.6153846154</v>
      </c>
    </row>
    <row r="181" ht="45" customHeight="1">
      <c r="A181" t="s" s="12">
        <v>972</v>
      </c>
      <c r="B181" t="s" s="12">
        <v>973</v>
      </c>
      <c r="C181" t="s" s="12">
        <v>974</v>
      </c>
      <c r="D181" t="s" s="12">
        <v>21</v>
      </c>
      <c r="E181" t="s" s="12">
        <v>51</v>
      </c>
      <c r="F181" s="13"/>
      <c r="G181" s="37">
        <v>1563.35</v>
      </c>
      <c r="H181" s="36">
        <v>16</v>
      </c>
      <c r="I181" s="13"/>
      <c r="J181" t="s" s="11">
        <v>975</v>
      </c>
      <c r="K181" s="13"/>
      <c r="L181" s="13"/>
      <c r="M181" s="13"/>
      <c r="N181" t="s" s="14">
        <v>258</v>
      </c>
      <c r="O181" t="s" s="14">
        <v>259</v>
      </c>
      <c r="P181" s="15">
        <v>60</v>
      </c>
      <c r="Q181" s="16">
        <v>50</v>
      </c>
      <c r="R181" t="str" s="13" cm="1">
        <f t="array" ref="R181">D181</f>
        <v>piece</v>
      </c>
      <c r="S181" s="17" cm="1">
        <f t="array" ref="S181">Q181/(260/P181)</f>
        <v>11.5384615384615</v>
      </c>
    </row>
    <row r="182" ht="45" customHeight="1">
      <c r="A182" t="s" s="12">
        <v>251</v>
      </c>
      <c r="B182" t="s" s="12">
        <v>252</v>
      </c>
      <c r="C182" t="s" s="12">
        <v>253</v>
      </c>
      <c r="D182" t="s" s="12">
        <v>21</v>
      </c>
      <c r="E182" t="s" s="12">
        <v>51</v>
      </c>
      <c r="F182" s="13"/>
      <c r="G182" s="37">
        <v>1258.18</v>
      </c>
      <c r="H182" s="36">
        <v>18</v>
      </c>
      <c r="I182" s="13"/>
      <c r="J182" t="s" s="11">
        <v>975</v>
      </c>
      <c r="K182" s="13"/>
      <c r="L182" s="13"/>
      <c r="M182" s="13"/>
      <c r="N182" t="s" s="14">
        <v>258</v>
      </c>
      <c r="O182" t="s" s="14">
        <v>259</v>
      </c>
      <c r="P182" s="15">
        <v>60</v>
      </c>
      <c r="Q182" s="16">
        <v>82</v>
      </c>
      <c r="R182" t="str" s="13" cm="1">
        <f t="array" ref="R182">D182</f>
        <v>piece</v>
      </c>
      <c r="S182" s="17" cm="1">
        <f t="array" ref="S182">Q182/(260/P182)</f>
        <v>18.9230769230769</v>
      </c>
    </row>
    <row r="183" ht="45" customHeight="1">
      <c r="A183" t="s" s="12">
        <v>976</v>
      </c>
      <c r="B183" t="s" s="12">
        <v>977</v>
      </c>
      <c r="C183" t="s" s="12">
        <v>978</v>
      </c>
      <c r="D183" t="s" s="12">
        <v>21</v>
      </c>
      <c r="E183" t="s" s="12">
        <v>51</v>
      </c>
      <c r="F183" s="13"/>
      <c r="G183" s="37">
        <v>753.54</v>
      </c>
      <c r="H183" s="36">
        <v>18.6</v>
      </c>
      <c r="I183" s="13"/>
      <c r="J183" t="s" s="11">
        <v>975</v>
      </c>
      <c r="K183" s="13"/>
      <c r="L183" s="13"/>
      <c r="M183" s="13"/>
      <c r="N183" t="s" s="14">
        <v>258</v>
      </c>
      <c r="O183" t="s" s="14">
        <v>259</v>
      </c>
      <c r="P183" s="15">
        <v>60</v>
      </c>
      <c r="Q183" s="16">
        <v>60</v>
      </c>
      <c r="R183" t="str" s="13" cm="1">
        <f t="array" ref="R183">D183</f>
        <v>piece</v>
      </c>
      <c r="S183" s="17" cm="1">
        <f t="array" ref="S183">Q183/(260/P183)</f>
        <v>13.8461538461538</v>
      </c>
    </row>
    <row r="184" ht="13.55" customHeight="1">
      <c r="A184" t="s" s="12">
        <v>217</v>
      </c>
      <c r="B184" t="s" s="12">
        <v>979</v>
      </c>
      <c r="C184" t="s" s="12">
        <v>219</v>
      </c>
      <c r="D184" t="s" s="12">
        <v>21</v>
      </c>
      <c r="E184" t="s" s="12">
        <v>51</v>
      </c>
      <c r="F184" s="13"/>
      <c r="G184" s="37">
        <v>875.16</v>
      </c>
      <c r="H184" s="36">
        <v>4.9</v>
      </c>
      <c r="I184" s="13"/>
      <c r="J184" t="s" s="12">
        <v>223</v>
      </c>
      <c r="K184" t="s" s="12">
        <v>980</v>
      </c>
      <c r="L184" s="13"/>
      <c r="M184" s="13"/>
      <c r="N184" t="s" s="14">
        <v>169</v>
      </c>
      <c r="O184" t="s" s="14">
        <v>170</v>
      </c>
      <c r="P184" s="15">
        <v>50</v>
      </c>
      <c r="Q184" s="16">
        <v>148</v>
      </c>
      <c r="R184" t="str" s="13" cm="1">
        <f t="array" ref="R184">D184</f>
        <v>piece</v>
      </c>
      <c r="S184" s="17" cm="1">
        <f t="array" ref="S184">Q184/(260/P184)</f>
        <v>28.4615384615385</v>
      </c>
    </row>
    <row r="185" ht="13.55" customHeight="1">
      <c r="A185" t="s" s="12">
        <v>981</v>
      </c>
      <c r="B185" t="s" s="12">
        <v>982</v>
      </c>
      <c r="C185" t="s" s="12">
        <v>983</v>
      </c>
      <c r="D185" t="s" s="12">
        <v>21</v>
      </c>
      <c r="E185" t="s" s="12">
        <v>51</v>
      </c>
      <c r="F185" s="13"/>
      <c r="G185" s="37">
        <v>695.96</v>
      </c>
      <c r="H185" s="36">
        <v>4.9</v>
      </c>
      <c r="I185" s="13"/>
      <c r="J185" t="s" s="12">
        <v>984</v>
      </c>
      <c r="K185" t="s" s="12">
        <v>985</v>
      </c>
      <c r="L185" s="13"/>
      <c r="M185" s="13"/>
      <c r="N185" t="s" s="14">
        <v>169</v>
      </c>
      <c r="O185" t="s" s="14">
        <v>170</v>
      </c>
      <c r="P185" s="15">
        <v>50</v>
      </c>
      <c r="Q185" s="16">
        <v>18</v>
      </c>
      <c r="R185" t="str" s="13" cm="1">
        <f t="array" ref="R185">D185</f>
        <v>piece</v>
      </c>
      <c r="S185" s="17" cm="1">
        <f t="array" ref="S185">Q185/(260/P185)</f>
        <v>3.46153846153846</v>
      </c>
    </row>
    <row r="186" ht="13.55" customHeight="1">
      <c r="A186" t="s" s="12">
        <v>986</v>
      </c>
      <c r="B186" t="s" s="12">
        <v>987</v>
      </c>
      <c r="C186" t="s" s="12">
        <v>988</v>
      </c>
      <c r="D186" t="s" s="12">
        <v>21</v>
      </c>
      <c r="E186" t="s" s="12">
        <v>51</v>
      </c>
      <c r="F186" s="13"/>
      <c r="G186" s="37">
        <v>32.58</v>
      </c>
      <c r="H186" s="36">
        <v>0.22</v>
      </c>
      <c r="I186" s="13"/>
      <c r="J186" t="s" s="12">
        <v>989</v>
      </c>
      <c r="K186" t="s" s="12">
        <v>990</v>
      </c>
      <c r="L186" s="13"/>
      <c r="M186" s="13"/>
      <c r="N186" t="s" s="14">
        <v>258</v>
      </c>
      <c r="O186" t="s" s="14">
        <v>259</v>
      </c>
      <c r="P186" s="15">
        <v>70</v>
      </c>
      <c r="Q186" s="16">
        <v>268</v>
      </c>
      <c r="R186" t="str" s="13" cm="1">
        <f t="array" ref="R186">D186</f>
        <v>piece</v>
      </c>
      <c r="S186" s="17" cm="1">
        <f t="array" ref="S186">Q186/(260/P186)</f>
        <v>72.1538461538462</v>
      </c>
    </row>
    <row r="187" ht="45" customHeight="1">
      <c r="A187" t="s" s="12">
        <v>991</v>
      </c>
      <c r="B187" t="s" s="12">
        <v>992</v>
      </c>
      <c r="C187" t="s" s="12">
        <v>993</v>
      </c>
      <c r="D187" t="s" s="12">
        <v>21</v>
      </c>
      <c r="E187" t="s" s="12">
        <v>51</v>
      </c>
      <c r="F187" s="13"/>
      <c r="G187" s="37">
        <v>53.99</v>
      </c>
      <c r="H187" s="36">
        <v>0.87</v>
      </c>
      <c r="I187" s="13"/>
      <c r="J187" t="s" s="11">
        <v>994</v>
      </c>
      <c r="K187" t="s" s="12">
        <v>995</v>
      </c>
      <c r="L187" s="13"/>
      <c r="M187" s="13"/>
      <c r="N187" t="s" s="14">
        <v>258</v>
      </c>
      <c r="O187" t="s" s="14">
        <v>259</v>
      </c>
      <c r="P187" s="15">
        <v>70</v>
      </c>
      <c r="Q187" s="16">
        <v>145</v>
      </c>
      <c r="R187" t="str" s="13" cm="1">
        <f t="array" ref="R187">D187</f>
        <v>piece</v>
      </c>
      <c r="S187" s="17" cm="1">
        <f t="array" ref="S187">Q187/(260/P187)</f>
        <v>39.0384615384615</v>
      </c>
    </row>
    <row r="188" ht="13.55" customHeight="1">
      <c r="A188" t="s" s="12">
        <v>260</v>
      </c>
      <c r="B188" t="s" s="12">
        <v>261</v>
      </c>
      <c r="C188" t="s" s="12">
        <v>996</v>
      </c>
      <c r="D188" t="s" s="12">
        <v>21</v>
      </c>
      <c r="E188" t="s" s="12">
        <v>51</v>
      </c>
      <c r="F188" s="13"/>
      <c r="G188" s="38">
        <v>979.34</v>
      </c>
      <c r="H188" s="36">
        <v>4.86</v>
      </c>
      <c r="I188" s="13"/>
      <c r="J188" t="s" s="12">
        <v>984</v>
      </c>
      <c r="K188" t="s" s="12">
        <v>997</v>
      </c>
      <c r="L188" s="13"/>
      <c r="M188" s="13"/>
      <c r="N188" t="s" s="14">
        <v>258</v>
      </c>
      <c r="O188" t="s" s="14">
        <v>259</v>
      </c>
      <c r="P188" s="15">
        <v>50</v>
      </c>
      <c r="Q188" s="16">
        <v>123</v>
      </c>
      <c r="R188" t="str" s="13" cm="1">
        <f t="array" ref="R188">D188</f>
        <v>piece</v>
      </c>
      <c r="S188" s="17" cm="1">
        <f t="array" ref="S188">Q188/(260/P188)</f>
        <v>23.6538461538462</v>
      </c>
    </row>
    <row r="189" ht="13.55" customHeight="1">
      <c r="A189" t="s" s="12">
        <v>998</v>
      </c>
      <c r="B189" t="s" s="12">
        <v>999</v>
      </c>
      <c r="C189" t="s" s="12">
        <v>1000</v>
      </c>
      <c r="D189" t="s" s="12">
        <v>21</v>
      </c>
      <c r="E189" t="s" s="12">
        <v>51</v>
      </c>
      <c r="F189" s="39"/>
      <c r="G189" s="40">
        <v>-99</v>
      </c>
      <c r="H189" s="41">
        <v>4.9</v>
      </c>
      <c r="I189" s="13"/>
      <c r="J189" t="s" s="12">
        <v>1001</v>
      </c>
      <c r="K189" t="s" s="12">
        <v>997</v>
      </c>
      <c r="L189" s="13"/>
      <c r="M189" s="13"/>
      <c r="N189" t="s" s="14">
        <v>258</v>
      </c>
      <c r="O189" t="s" s="14">
        <v>259</v>
      </c>
      <c r="P189" s="15">
        <v>55</v>
      </c>
      <c r="Q189" s="16">
        <v>6</v>
      </c>
      <c r="R189" t="str" s="13" cm="1">
        <f t="array" ref="R189">D189</f>
        <v>piece</v>
      </c>
      <c r="S189" s="17" cm="1">
        <f t="array" ref="S189">Q189/(260/P189)</f>
        <v>1.26923076923077</v>
      </c>
    </row>
    <row r="190" ht="30" customHeight="1">
      <c r="A190" t="s" s="12">
        <v>1002</v>
      </c>
      <c r="B190" t="s" s="12">
        <v>1003</v>
      </c>
      <c r="C190" t="s" s="12">
        <v>1004</v>
      </c>
      <c r="D190" t="s" s="12">
        <v>21</v>
      </c>
      <c r="E190" t="s" s="12">
        <v>51</v>
      </c>
      <c r="F190" s="13"/>
      <c r="G190" s="45">
        <v>18.56</v>
      </c>
      <c r="H190" s="36">
        <v>0.02</v>
      </c>
      <c r="I190" s="13"/>
      <c r="J190" t="s" s="11">
        <v>1005</v>
      </c>
      <c r="K190" t="s" s="12">
        <v>1006</v>
      </c>
      <c r="L190" s="13"/>
      <c r="M190" s="13"/>
      <c r="N190" t="s" s="14">
        <v>1007</v>
      </c>
      <c r="O190" t="s" s="14">
        <v>1008</v>
      </c>
      <c r="P190" s="15">
        <v>40</v>
      </c>
      <c r="Q190" s="16">
        <v>439</v>
      </c>
      <c r="R190" t="str" s="13" cm="1">
        <f t="array" ref="R190">D190</f>
        <v>piece</v>
      </c>
      <c r="S190" s="17" cm="1">
        <f t="array" ref="S190">Q190/(260/P190)</f>
        <v>67.5384615384615</v>
      </c>
    </row>
    <row r="191" ht="30" customHeight="1">
      <c r="A191" t="s" s="12">
        <v>1009</v>
      </c>
      <c r="B191" t="s" s="12">
        <v>1010</v>
      </c>
      <c r="C191" t="s" s="12">
        <v>1011</v>
      </c>
      <c r="D191" t="s" s="12">
        <v>21</v>
      </c>
      <c r="E191" t="s" s="12">
        <v>51</v>
      </c>
      <c r="F191" s="13"/>
      <c r="G191" s="37">
        <v>21.22</v>
      </c>
      <c r="H191" s="36">
        <v>0.022</v>
      </c>
      <c r="I191" s="13"/>
      <c r="J191" t="s" s="11">
        <v>1005</v>
      </c>
      <c r="K191" t="s" s="12">
        <v>1006</v>
      </c>
      <c r="L191" s="13"/>
      <c r="M191" s="13"/>
      <c r="N191" t="s" s="14">
        <v>1007</v>
      </c>
      <c r="O191" t="s" s="14">
        <v>1008</v>
      </c>
      <c r="P191" s="15">
        <v>40</v>
      </c>
      <c r="Q191" s="16">
        <v>220</v>
      </c>
      <c r="R191" t="str" s="13" cm="1">
        <f t="array" ref="R191">D191</f>
        <v>piece</v>
      </c>
      <c r="S191" s="17" cm="1">
        <f t="array" ref="S191">Q191/(260/P191)</f>
        <v>33.8461538461538</v>
      </c>
    </row>
    <row r="192" ht="30" customHeight="1">
      <c r="A192" t="s" s="12">
        <v>1012</v>
      </c>
      <c r="B192" t="s" s="12">
        <v>1013</v>
      </c>
      <c r="C192" t="s" s="12">
        <v>1014</v>
      </c>
      <c r="D192" t="s" s="12">
        <v>21</v>
      </c>
      <c r="E192" t="s" s="12">
        <v>51</v>
      </c>
      <c r="F192" s="13"/>
      <c r="G192" s="37">
        <v>20.27</v>
      </c>
      <c r="H192" s="36">
        <v>0.022</v>
      </c>
      <c r="I192" s="13"/>
      <c r="J192" t="s" s="11">
        <v>1005</v>
      </c>
      <c r="K192" t="s" s="12">
        <v>1006</v>
      </c>
      <c r="L192" s="13"/>
      <c r="M192" s="13"/>
      <c r="N192" t="s" s="14">
        <v>1007</v>
      </c>
      <c r="O192" t="s" s="14">
        <v>1008</v>
      </c>
      <c r="P192" s="15">
        <v>40</v>
      </c>
      <c r="Q192" s="16">
        <v>250</v>
      </c>
      <c r="R192" t="str" s="13" cm="1">
        <f t="array" ref="R192">D192</f>
        <v>piece</v>
      </c>
      <c r="S192" s="17" cm="1">
        <f t="array" ref="S192">Q192/(260/P192)</f>
        <v>38.4615384615385</v>
      </c>
    </row>
    <row r="193" ht="30" customHeight="1">
      <c r="A193" t="s" s="12">
        <v>1015</v>
      </c>
      <c r="B193" t="s" s="12">
        <v>1016</v>
      </c>
      <c r="C193" t="s" s="12">
        <v>1017</v>
      </c>
      <c r="D193" t="s" s="12">
        <v>21</v>
      </c>
      <c r="E193" t="s" s="12">
        <v>51</v>
      </c>
      <c r="F193" s="13"/>
      <c r="G193" s="37">
        <v>19.13</v>
      </c>
      <c r="H193" s="36">
        <v>0.022</v>
      </c>
      <c r="I193" s="13"/>
      <c r="J193" t="s" s="11">
        <v>1005</v>
      </c>
      <c r="K193" t="s" s="12">
        <v>1006</v>
      </c>
      <c r="L193" s="13"/>
      <c r="M193" s="13"/>
      <c r="N193" t="s" s="14">
        <v>1007</v>
      </c>
      <c r="O193" t="s" s="14">
        <v>1008</v>
      </c>
      <c r="P193" s="15">
        <v>40</v>
      </c>
      <c r="Q193" s="16">
        <v>230</v>
      </c>
      <c r="R193" t="str" s="13" cm="1">
        <f t="array" ref="R193">D193</f>
        <v>piece</v>
      </c>
      <c r="S193" s="17" cm="1">
        <f t="array" ref="S193">Q193/(260/P193)</f>
        <v>35.3846153846154</v>
      </c>
    </row>
    <row r="194" ht="30" customHeight="1">
      <c r="A194" t="s" s="12">
        <v>1018</v>
      </c>
      <c r="B194" t="s" s="12">
        <v>1019</v>
      </c>
      <c r="C194" t="s" s="12">
        <v>1020</v>
      </c>
      <c r="D194" t="s" s="12">
        <v>21</v>
      </c>
      <c r="E194" t="s" s="12">
        <v>51</v>
      </c>
      <c r="F194" s="13"/>
      <c r="G194" s="37">
        <v>16.29</v>
      </c>
      <c r="H194" s="36">
        <v>0.029</v>
      </c>
      <c r="I194" s="13"/>
      <c r="J194" t="s" s="11">
        <v>1005</v>
      </c>
      <c r="K194" t="s" s="12">
        <v>1006</v>
      </c>
      <c r="L194" s="13"/>
      <c r="M194" s="13"/>
      <c r="N194" t="s" s="14">
        <v>1007</v>
      </c>
      <c r="O194" t="s" s="14">
        <v>1008</v>
      </c>
      <c r="P194" s="15">
        <v>40</v>
      </c>
      <c r="Q194" s="16">
        <v>150</v>
      </c>
      <c r="R194" t="str" s="13" cm="1">
        <f t="array" ref="R194">D194</f>
        <v>piece</v>
      </c>
      <c r="S194" s="17" cm="1">
        <f t="array" ref="S194">Q194/(260/P194)</f>
        <v>23.0769230769231</v>
      </c>
    </row>
    <row r="195" ht="13.55" customHeight="1">
      <c r="A195" t="s" s="12">
        <v>1021</v>
      </c>
      <c r="B195" t="s" s="12">
        <v>1022</v>
      </c>
      <c r="C195" t="s" s="12">
        <v>1023</v>
      </c>
      <c r="D195" t="s" s="12">
        <v>21</v>
      </c>
      <c r="E195" t="s" s="12">
        <v>51</v>
      </c>
      <c r="F195" s="13"/>
      <c r="G195" s="37">
        <v>3.16</v>
      </c>
      <c r="H195" s="36">
        <v>0.011</v>
      </c>
      <c r="I195" s="13"/>
      <c r="J195" t="s" s="12">
        <v>971</v>
      </c>
      <c r="K195" s="13"/>
      <c r="L195" s="13"/>
      <c r="M195" s="13"/>
      <c r="N195" t="s" s="14">
        <v>37</v>
      </c>
      <c r="O195" t="s" s="14">
        <v>38</v>
      </c>
      <c r="P195" s="15">
        <v>40</v>
      </c>
      <c r="Q195" s="16">
        <v>200</v>
      </c>
      <c r="R195" t="str" s="13" cm="1">
        <f t="array" ref="R195">D195</f>
        <v>piece</v>
      </c>
      <c r="S195" s="17" cm="1">
        <f t="array" ref="S195">Q195/(260/P195)</f>
        <v>30.7692307692308</v>
      </c>
    </row>
    <row r="196" ht="30" customHeight="1">
      <c r="A196" t="s" s="12">
        <v>1024</v>
      </c>
      <c r="B196" t="s" s="12">
        <v>973</v>
      </c>
      <c r="C196" t="s" s="12">
        <v>1025</v>
      </c>
      <c r="D196" t="s" s="12">
        <v>21</v>
      </c>
      <c r="E196" t="s" s="12">
        <v>51</v>
      </c>
      <c r="F196" s="13"/>
      <c r="G196" s="37">
        <v>1572.25</v>
      </c>
      <c r="H196" s="36">
        <v>4.7</v>
      </c>
      <c r="I196" s="13"/>
      <c r="J196" t="s" s="11">
        <v>1026</v>
      </c>
      <c r="K196" s="13"/>
      <c r="L196" s="13"/>
      <c r="M196" s="13"/>
      <c r="N196" t="s" s="14">
        <v>1027</v>
      </c>
      <c r="O196" t="s" s="14">
        <v>1028</v>
      </c>
      <c r="P196" s="15">
        <v>60</v>
      </c>
      <c r="Q196" s="16">
        <v>3</v>
      </c>
      <c r="R196" t="str" s="13" cm="1">
        <f t="array" ref="R196">D196</f>
        <v>piece</v>
      </c>
      <c r="S196" s="17" cm="1">
        <f t="array" ref="S196">Q196/(260/P196)</f>
        <v>0.692307692307692</v>
      </c>
    </row>
    <row r="197" ht="30" customHeight="1">
      <c r="A197" t="s" s="12">
        <v>1029</v>
      </c>
      <c r="B197" t="s" s="12">
        <v>973</v>
      </c>
      <c r="C197" t="s" s="12">
        <v>1025</v>
      </c>
      <c r="D197" t="s" s="12">
        <v>21</v>
      </c>
      <c r="E197" t="s" s="12">
        <v>51</v>
      </c>
      <c r="F197" s="13"/>
      <c r="G197" s="37">
        <v>2007.94</v>
      </c>
      <c r="H197" s="36">
        <v>3</v>
      </c>
      <c r="I197" s="13"/>
      <c r="J197" t="s" s="11">
        <v>1030</v>
      </c>
      <c r="K197" s="13"/>
      <c r="L197" s="13"/>
      <c r="M197" s="13"/>
      <c r="N197" t="s" s="14">
        <v>1007</v>
      </c>
      <c r="O197" t="s" s="14">
        <v>1008</v>
      </c>
      <c r="P197" s="15">
        <v>60</v>
      </c>
      <c r="Q197" s="16">
        <v>5</v>
      </c>
      <c r="R197" t="str" s="13" cm="1">
        <f t="array" ref="R197">D197</f>
        <v>piece</v>
      </c>
      <c r="S197" s="17" cm="1">
        <f t="array" ref="S197">Q197/(260/P197)</f>
        <v>1.15384615384615</v>
      </c>
    </row>
    <row r="198" ht="30" customHeight="1">
      <c r="A198" t="s" s="12">
        <v>1031</v>
      </c>
      <c r="B198" t="s" s="12">
        <v>1032</v>
      </c>
      <c r="C198" t="s" s="12">
        <v>1033</v>
      </c>
      <c r="D198" t="s" s="12">
        <v>21</v>
      </c>
      <c r="E198" t="s" s="12">
        <v>51</v>
      </c>
      <c r="F198" s="13"/>
      <c r="G198" s="37">
        <v>1629.08</v>
      </c>
      <c r="H198" s="36">
        <v>5</v>
      </c>
      <c r="I198" s="13"/>
      <c r="J198" t="s" s="11">
        <v>1030</v>
      </c>
      <c r="K198" s="13"/>
      <c r="L198" s="13"/>
      <c r="M198" s="13"/>
      <c r="N198" t="s" s="14">
        <v>1007</v>
      </c>
      <c r="O198" t="s" s="14">
        <v>1008</v>
      </c>
      <c r="P198" s="15">
        <v>60</v>
      </c>
      <c r="Q198" s="16">
        <v>6</v>
      </c>
      <c r="R198" t="str" s="13" cm="1">
        <f t="array" ref="R198">D198</f>
        <v>piece</v>
      </c>
      <c r="S198" s="17" cm="1">
        <f t="array" ref="S198">Q198/(260/P198)</f>
        <v>1.38461538461538</v>
      </c>
    </row>
    <row r="199" ht="30" customHeight="1">
      <c r="A199" t="s" s="12">
        <v>1034</v>
      </c>
      <c r="B199" t="s" s="12">
        <v>977</v>
      </c>
      <c r="C199" t="s" s="12">
        <v>1035</v>
      </c>
      <c r="D199" t="s" s="12">
        <v>21</v>
      </c>
      <c r="E199" t="s" s="12">
        <v>51</v>
      </c>
      <c r="F199" s="13"/>
      <c r="G199" s="37">
        <v>1439.65</v>
      </c>
      <c r="H199" s="36">
        <v>4.5</v>
      </c>
      <c r="I199" s="13"/>
      <c r="J199" t="s" s="11">
        <v>1030</v>
      </c>
      <c r="K199" s="13"/>
      <c r="L199" s="13"/>
      <c r="M199" s="13"/>
      <c r="N199" t="s" s="14">
        <v>1007</v>
      </c>
      <c r="O199" t="s" s="14">
        <v>1008</v>
      </c>
      <c r="P199" s="15">
        <v>60</v>
      </c>
      <c r="Q199" s="16">
        <v>6</v>
      </c>
      <c r="R199" t="str" s="13" cm="1">
        <f t="array" ref="R199">D199</f>
        <v>piece</v>
      </c>
      <c r="S199" s="17" cm="1">
        <f t="array" ref="S199">Q199/(260/P199)</f>
        <v>1.38461538461538</v>
      </c>
    </row>
    <row r="200" ht="30" customHeight="1">
      <c r="A200" t="s" s="12">
        <v>1036</v>
      </c>
      <c r="B200" t="s" s="12">
        <v>1032</v>
      </c>
      <c r="C200" t="s" s="12">
        <v>1033</v>
      </c>
      <c r="D200" t="s" s="12">
        <v>21</v>
      </c>
      <c r="E200" t="s" s="12">
        <v>51</v>
      </c>
      <c r="F200" s="13"/>
      <c r="G200" s="37">
        <v>1288.11</v>
      </c>
      <c r="H200" s="36">
        <v>4.5</v>
      </c>
      <c r="I200" s="13"/>
      <c r="J200" t="s" s="11">
        <v>1030</v>
      </c>
      <c r="K200" s="13"/>
      <c r="L200" s="13"/>
      <c r="M200" s="13"/>
      <c r="N200" t="s" s="14">
        <v>1027</v>
      </c>
      <c r="O200" t="s" s="14">
        <v>1028</v>
      </c>
      <c r="P200" s="15">
        <v>60</v>
      </c>
      <c r="Q200" s="16">
        <v>4</v>
      </c>
      <c r="R200" t="str" s="13" cm="1">
        <f t="array" ref="R200">D200</f>
        <v>piece</v>
      </c>
      <c r="S200" s="17" cm="1">
        <f t="array" ref="S200">Q200/(260/P200)</f>
        <v>0.923076923076923</v>
      </c>
    </row>
    <row r="201" ht="30" customHeight="1">
      <c r="A201" t="s" s="12">
        <v>1037</v>
      </c>
      <c r="B201" t="s" s="12">
        <v>977</v>
      </c>
      <c r="C201" t="s" s="12">
        <v>1035</v>
      </c>
      <c r="D201" t="s" s="12">
        <v>21</v>
      </c>
      <c r="E201" t="s" s="12">
        <v>51</v>
      </c>
      <c r="F201" s="13"/>
      <c r="G201" s="37">
        <v>1117.63</v>
      </c>
      <c r="H201" s="36">
        <v>4.99</v>
      </c>
      <c r="I201" s="13"/>
      <c r="J201" t="s" s="11">
        <v>1030</v>
      </c>
      <c r="K201" s="13"/>
      <c r="L201" s="13"/>
      <c r="M201" s="13"/>
      <c r="N201" t="s" s="14">
        <v>1027</v>
      </c>
      <c r="O201" t="s" s="14">
        <v>1028</v>
      </c>
      <c r="P201" s="15">
        <v>60</v>
      </c>
      <c r="Q201" s="16">
        <v>2</v>
      </c>
      <c r="R201" t="str" s="13" cm="1">
        <f t="array" ref="R201">D201</f>
        <v>piece</v>
      </c>
      <c r="S201" s="17" cm="1">
        <f t="array" ref="S201">Q201/(260/P201)</f>
        <v>0.461538461538462</v>
      </c>
    </row>
    <row r="202" ht="30" customHeight="1">
      <c r="A202" t="s" s="12">
        <v>1038</v>
      </c>
      <c r="B202" t="s" s="12">
        <v>1003</v>
      </c>
      <c r="C202" t="s" s="12">
        <v>1004</v>
      </c>
      <c r="D202" t="s" s="12">
        <v>21</v>
      </c>
      <c r="E202" t="s" s="12">
        <v>51</v>
      </c>
      <c r="F202" s="13"/>
      <c r="G202" s="37">
        <v>16.67</v>
      </c>
      <c r="H202" s="36">
        <v>0.02</v>
      </c>
      <c r="I202" s="13"/>
      <c r="J202" t="s" s="11">
        <v>1039</v>
      </c>
      <c r="K202" t="s" s="12">
        <v>1040</v>
      </c>
      <c r="L202" s="13"/>
      <c r="M202" s="13"/>
      <c r="N202" t="s" s="14">
        <v>1007</v>
      </c>
      <c r="O202" t="s" s="14">
        <v>1008</v>
      </c>
      <c r="P202" s="15">
        <v>40</v>
      </c>
      <c r="Q202" s="16">
        <v>185</v>
      </c>
      <c r="R202" t="str" s="13" cm="1">
        <f t="array" ref="R202">D202</f>
        <v>piece</v>
      </c>
      <c r="S202" s="17" cm="1">
        <f t="array" ref="S202">Q202/(260/P202)</f>
        <v>28.4615384615385</v>
      </c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